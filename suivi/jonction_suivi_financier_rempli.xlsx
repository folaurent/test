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Revenus" sheetId="2" state="visible" r:id="rId2"/>
    <sheet name="Dépenses" sheetId="3" state="visible" r:id="rId3"/>
    <sheet name="Charges fixes" sheetId="4" state="visible" r:id="rId4"/>
    <sheet name="Paramèt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\ \€;\(#,##0\)\ \€;&quot;-&quot;"/>
    <numFmt numFmtId="165" formatCode="0.0%;\(0.0%\);&quot;-&quot;"/>
    <numFmt numFmtId="166" formatCode="mmm\ yyyy"/>
    <numFmt numFmtId="167" formatCode="D/M/YYYY"/>
    <numFmt numFmtId="168" formatCode="d/m/yyyy"/>
    <numFmt numFmtId="169" formatCode="#,##0&quot;€&quot;"/>
    <numFmt numFmtId="170" formatCode="mmmm yyyy"/>
  </numFmts>
  <fonts count="19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0F2645"/>
      <sz val="18"/>
    </font>
    <font>
      <name val="Arial"/>
      <i val="1"/>
      <color rgb="FF94A3B8"/>
      <sz val="10"/>
    </font>
    <font>
      <name val="Arial"/>
      <b val="1"/>
      <color rgb="FF0F2645"/>
      <sz val="10"/>
    </font>
    <font/>
    <font>
      <name val="Arial"/>
      <b val="1"/>
      <color rgb="FF008000"/>
      <sz val="18"/>
    </font>
    <font>
      <name val="Arial"/>
      <b val="1"/>
      <color rgb="FF000000"/>
      <sz val="18"/>
    </font>
    <font>
      <name val="Arial"/>
      <b val="1"/>
      <color rgb="FF0F2645"/>
      <sz val="13"/>
    </font>
    <font>
      <name val="Arial"/>
      <b val="1"/>
      <color rgb="FFFFFFFF"/>
      <sz val="11"/>
    </font>
    <font>
      <name val="Arial"/>
      <color rgb="FF000000"/>
      <sz val="10"/>
    </font>
    <font>
      <name val="Arial"/>
      <color rgb="FF008000"/>
      <sz val="10"/>
    </font>
    <font>
      <name val="Arial"/>
      <b val="1"/>
      <color rgb="FF0F2645"/>
      <sz val="11"/>
    </font>
    <font>
      <name val="Arial"/>
      <b val="1"/>
      <color rgb="FF0000FF"/>
      <sz val="10"/>
    </font>
    <font>
      <name val="Arial"/>
      <color rgb="FF94A3B8"/>
      <sz val="10"/>
    </font>
    <font>
      <name val="Arial"/>
      <b val="1"/>
      <color rgb="FF000000"/>
      <sz val="10"/>
    </font>
    <font>
      <name val="Arial"/>
      <b val="1"/>
      <color rgb="FF008000"/>
      <sz val="10"/>
    </font>
    <font>
      <name val="Arial"/>
      <color rgb="FF0000FF"/>
      <sz val="10"/>
    </font>
    <font>
      <name val="Calibri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0F2645"/>
        <bgColor rgb="FF0F2645"/>
      </patternFill>
    </fill>
    <fill>
      <patternFill patternType="solid">
        <fgColor rgb="FFF1F5F9"/>
        <bgColor rgb="FFF1F5F9"/>
      </patternFill>
    </fill>
    <fill>
      <patternFill patternType="solid">
        <fgColor rgb="FFF07030"/>
        <bgColor rgb="FFF07030"/>
      </patternFill>
    </fill>
    <fill>
      <patternFill patternType="solid">
        <fgColor rgb="FFFFFFFF"/>
        <bgColor rgb="FFFFFFFF"/>
      </patternFill>
    </fill>
  </fills>
  <borders count="13">
    <border/>
    <border>
      <left/>
      <right/>
      <top/>
      <bottom/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/>
      <top style="thin">
        <color rgb="FFCBD5E1"/>
      </top>
      <bottom/>
    </border>
    <border>
      <left style="thin">
        <color rgb="FFCBD5E1"/>
      </left>
      <right style="thin">
        <color rgb="FFCBD5E1"/>
      </right>
      <top style="thin">
        <color rgb="FFCBD5E1"/>
      </top>
      <bottom/>
    </border>
    <border>
      <left/>
      <right/>
      <top style="thin">
        <color rgb="FFCBD5E1"/>
      </top>
      <bottom style="thin">
        <color rgb="FFCBD5E1"/>
      </bottom>
    </border>
    <border>
      <left/>
      <right/>
      <top style="thin">
        <color rgb="FFCBD5E1"/>
      </top>
      <bottom/>
    </border>
    <border>
      <left style="thin">
        <color rgb="FFCBD5E1"/>
      </left>
      <right/>
      <top style="thin">
        <color rgb="FFCBD5E1"/>
      </top>
      <bottom style="thin">
        <color rgb="FFCBD5E1"/>
      </bottom>
    </border>
    <border>
      <left style="thin">
        <color rgb="FFCBD5E1"/>
      </left>
      <right/>
      <top/>
      <bottom style="thin">
        <color rgb="FFCBD5E1"/>
      </bottom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0" borderId="3" pivotButton="0" quotePrefix="0" xfId="0"/>
    <xf numFmtId="164" fontId="6" fillId="3" borderId="2" applyAlignment="1" pivotButton="0" quotePrefix="0" xfId="0">
      <alignment horizontal="center" vertical="center"/>
    </xf>
    <xf numFmtId="164" fontId="7" fillId="3" borderId="2" applyAlignment="1" pivotButton="0" quotePrefix="0" xfId="0">
      <alignment horizontal="center" vertical="center"/>
    </xf>
    <xf numFmtId="165" fontId="7" fillId="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166" fontId="10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right" vertical="center"/>
    </xf>
    <xf numFmtId="164" fontId="10" fillId="0" borderId="4" applyAlignment="1" pivotButton="0" quotePrefix="0" xfId="0">
      <alignment horizontal="right" vertical="center"/>
    </xf>
    <xf numFmtId="165" fontId="10" fillId="0" borderId="4" applyAlignment="1" pivotButton="0" quotePrefix="0" xfId="0">
      <alignment horizontal="right" vertical="center"/>
    </xf>
    <xf numFmtId="0" fontId="9" fillId="4" borderId="4" applyAlignment="1" pivotButton="0" quotePrefix="0" xfId="0">
      <alignment horizontal="center" vertical="center"/>
    </xf>
    <xf numFmtId="164" fontId="9" fillId="4" borderId="4" applyAlignment="1" pivotButton="0" quotePrefix="0" xfId="0">
      <alignment horizontal="right" vertical="center"/>
    </xf>
    <xf numFmtId="165" fontId="9" fillId="4" borderId="4" applyAlignment="1" pivotButton="0" quotePrefix="0" xfId="0">
      <alignment horizontal="right" vertical="center"/>
    </xf>
    <xf numFmtId="0" fontId="10" fillId="0" borderId="4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/>
    </xf>
    <xf numFmtId="0" fontId="9" fillId="2" borderId="5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10" fillId="5" borderId="5" pivotButton="0" quotePrefix="0" xfId="0"/>
    <xf numFmtId="164" fontId="11" fillId="5" borderId="4" applyAlignment="1" pivotButton="0" quotePrefix="0" xfId="0">
      <alignment horizontal="right"/>
    </xf>
    <xf numFmtId="164" fontId="10" fillId="5" borderId="7" applyAlignment="1" pivotButton="0" quotePrefix="0" xfId="0">
      <alignment horizontal="right"/>
    </xf>
    <xf numFmtId="165" fontId="10" fillId="5" borderId="4" applyAlignment="1" pivotButton="0" quotePrefix="0" xfId="0">
      <alignment horizontal="right"/>
    </xf>
    <xf numFmtId="0" fontId="3" fillId="5" borderId="5" pivotButton="0" quotePrefix="0" xfId="0"/>
    <xf numFmtId="164" fontId="10" fillId="5" borderId="8" applyAlignment="1" pivotButton="0" quotePrefix="0" xfId="0">
      <alignment horizontal="right"/>
    </xf>
    <xf numFmtId="165" fontId="10" fillId="5" borderId="6" applyAlignment="1" pivotButton="0" quotePrefix="0" xfId="0">
      <alignment horizontal="right"/>
    </xf>
    <xf numFmtId="0" fontId="9" fillId="4" borderId="9" applyAlignment="1" pivotButton="0" quotePrefix="0" xfId="0">
      <alignment horizontal="center"/>
    </xf>
    <xf numFmtId="164" fontId="9" fillId="4" borderId="10" applyAlignment="1" pivotButton="0" quotePrefix="0" xfId="0">
      <alignment horizontal="right"/>
    </xf>
    <xf numFmtId="164" fontId="9" fillId="4" borderId="9" applyAlignment="1" pivotButton="0" quotePrefix="0" xfId="0">
      <alignment horizontal="right"/>
    </xf>
    <xf numFmtId="165" fontId="9" fillId="4" borderId="4" applyAlignment="1" pivotButton="0" quotePrefix="0" xfId="0">
      <alignment horizontal="right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7" fontId="17" fillId="0" borderId="4" pivotButton="0" quotePrefix="0" xfId="0"/>
    <xf numFmtId="0" fontId="17" fillId="0" borderId="4" pivotButton="0" quotePrefix="0" xfId="0"/>
    <xf numFmtId="164" fontId="17" fillId="0" borderId="4" pivotButton="0" quotePrefix="0" xfId="0"/>
    <xf numFmtId="166" fontId="10" fillId="0" borderId="4" pivotButton="0" quotePrefix="0" xfId="0"/>
    <xf numFmtId="0" fontId="17" fillId="0" borderId="4" pivotButton="0" quotePrefix="0" xfId="0"/>
    <xf numFmtId="167" fontId="1" fillId="0" borderId="4" pivotButton="0" quotePrefix="0" xfId="0"/>
    <xf numFmtId="0" fontId="1" fillId="0" borderId="4" pivotButton="0" quotePrefix="0" xfId="0"/>
    <xf numFmtId="164" fontId="1" fillId="0" borderId="4" pivotButton="0" quotePrefix="0" xfId="0"/>
    <xf numFmtId="0" fontId="1" fillId="0" borderId="4" pivotButton="0" quotePrefix="0" xfId="0"/>
    <xf numFmtId="167" fontId="17" fillId="0" borderId="4" pivotButton="0" quotePrefix="0" xfId="0"/>
    <xf numFmtId="167" fontId="1" fillId="0" borderId="4" pivotButton="0" quotePrefix="0" xfId="0"/>
    <xf numFmtId="164" fontId="1" fillId="0" borderId="4" pivotButton="0" quotePrefix="0" xfId="0"/>
    <xf numFmtId="167" fontId="17" fillId="5" borderId="4" pivotButton="0" quotePrefix="0" xfId="0"/>
    <xf numFmtId="168" fontId="1" fillId="0" borderId="4" pivotButton="0" quotePrefix="0" xfId="0"/>
    <xf numFmtId="0" fontId="9" fillId="2" borderId="6" applyAlignment="1" pivotButton="0" quotePrefix="0" xfId="0">
      <alignment horizontal="center"/>
    </xf>
    <xf numFmtId="0" fontId="17" fillId="5" borderId="5" pivotButton="0" quotePrefix="0" xfId="0"/>
    <xf numFmtId="164" fontId="17" fillId="5" borderId="5" applyAlignment="1" pivotButton="0" quotePrefix="0" xfId="0">
      <alignment horizontal="right"/>
    </xf>
    <xf numFmtId="166" fontId="17" fillId="5" borderId="6" applyAlignment="1" pivotButton="0" quotePrefix="0" xfId="0">
      <alignment horizontal="center"/>
    </xf>
    <xf numFmtId="0" fontId="17" fillId="5" borderId="9" pivotButton="0" quotePrefix="0" xfId="0"/>
    <xf numFmtId="164" fontId="17" fillId="5" borderId="9" applyAlignment="1" pivotButton="0" quotePrefix="0" xfId="0">
      <alignment horizontal="right"/>
    </xf>
    <xf numFmtId="166" fontId="17" fillId="5" borderId="4" applyAlignment="1" pivotButton="0" quotePrefix="0" xfId="0">
      <alignment horizontal="center"/>
    </xf>
    <xf numFmtId="169" fontId="18" fillId="0" borderId="0" pivotButton="0" quotePrefix="0" xfId="0"/>
    <xf numFmtId="170" fontId="18" fillId="0" borderId="0" pivotButton="0" quotePrefix="0" xfId="0"/>
    <xf numFmtId="0" fontId="12" fillId="0" borderId="0" pivotButton="0" quotePrefix="0" xfId="0"/>
    <xf numFmtId="0" fontId="10" fillId="0" borderId="4" pivotButton="0" quotePrefix="0" xfId="0"/>
    <xf numFmtId="0" fontId="0" fillId="0" borderId="0" pivotButton="0" quotePrefix="0" xfId="0"/>
    <xf numFmtId="0" fontId="4" fillId="3" borderId="4" applyAlignment="1" pivotButton="0" quotePrefix="0" xfId="0">
      <alignment horizontal="center" vertical="center"/>
    </xf>
    <xf numFmtId="0" fontId="0" fillId="0" borderId="3" pivotButton="0" quotePrefix="0" xfId="0"/>
    <xf numFmtId="164" fontId="6" fillId="3" borderId="4" applyAlignment="1" pivotButton="0" quotePrefix="0" xfId="0">
      <alignment horizontal="center" vertical="center"/>
    </xf>
    <xf numFmtId="164" fontId="7" fillId="3" borderId="4" applyAlignment="1" pivotButton="0" quotePrefix="0" xfId="0">
      <alignment horizontal="center" vertical="center"/>
    </xf>
    <xf numFmtId="165" fontId="7" fillId="3" borderId="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 i="0">
                <a:solidFill>
                  <a:srgbClr val="0F2645"/>
                </a:solidFill>
                <a:latin typeface="+mn-lt"/>
              </a:defRPr>
            </a:pPr>
            <a:r>
              <a:rPr sz="1200" b="1" i="0">
                <a:solidFill>
                  <a:srgbClr val="0F2645"/>
                </a:solidFill>
                <a:latin typeface="+mn-lt"/>
              </a:rPr>
              <a:t>Rentabilité par client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CA HT</v>
          </tx>
          <spPr>
            <a:solidFill>
              <a:srgbClr val="2563EB"/>
            </a:solidFill>
            <a:ln cmpd="sng">
              <a:noFill/>
              <a:prstDash val="solid"/>
            </a:ln>
          </spPr>
          <cat>
            <strRef>
              <f>Dashboard!$B$40:$B$43</f>
            </strRef>
          </cat>
          <val>
            <numRef>
              <f>Dashboard!$C$40:$C$43</f>
              <numCache/>
            </numRef>
          </val>
        </ser>
        <ser>
          <idx val="1"/>
          <order val="1"/>
          <tx>
            <v>Charges</v>
          </tx>
          <spPr>
            <a:solidFill>
              <a:srgbClr val="F07030"/>
            </a:solidFill>
            <a:ln cmpd="sng">
              <a:noFill/>
              <a:prstDash val="solid"/>
            </a:ln>
          </spPr>
          <cat>
            <strRef>
              <f>Dashboard!$B$40:$B$43</f>
            </strRef>
          </cat>
          <val>
            <numRef>
              <f>Dashboard!$D$40:$D$43</f>
              <numCache/>
            </numRef>
          </val>
        </ser>
        <ser>
          <idx val="2"/>
          <order val="2"/>
          <tx>
            <v>Marge</v>
          </tx>
          <spPr>
            <a:solidFill>
              <a:srgbClr val="10B981"/>
            </a:solidFill>
            <a:ln cmpd="sng">
              <a:noFill/>
              <a:prstDash val="solid"/>
            </a:ln>
          </spPr>
          <cat>
            <strRef>
              <f>Dashboard!$B$40:$B$43</f>
            </strRef>
          </cat>
          <val>
            <numRef>
              <f>Dashboard!$E$40:$E$43</f>
              <numCache/>
            </numRef>
          </val>
        </ser>
        <gapWidth val="150"/>
        <axId val="1202097155"/>
        <axId val="220209419"/>
      </barChart>
      <catAx>
        <axId val="120209715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64748B"/>
                </a:solidFill>
                <a:latin typeface="+mn-lt"/>
              </a:defRPr>
            </a:pPr>
            <a:r>
              <a:t/>
            </a:r>
          </a:p>
        </txPr>
        <crossAx val="220209419"/>
        <lblOffset val="100"/>
      </catAx>
      <valAx>
        <axId val="22020941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#,##0\ \€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64748B"/>
                </a:solidFill>
                <a:latin typeface="+mn-lt"/>
              </a:defRPr>
            </a:pPr>
            <a:r>
              <a:t/>
            </a:r>
          </a:p>
        </txPr>
        <crossAx val="1202097155"/>
      </valAx>
    </plotArea>
    <legend>
      <legendPos val="b"/>
      <overlay val="0"/>
      <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37</row>
      <rowOff>0</rowOff>
    </from>
    <ext cx="4619625" cy="28479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63" min="1" max="1"/>
    <col width="18" customWidth="1" style="63" min="2" max="2"/>
    <col width="16" customWidth="1" style="63" min="3" max="5"/>
    <col width="18" customWidth="1" style="63" min="6" max="6"/>
    <col width="16" customWidth="1" style="63" min="7" max="8"/>
    <col width="3" customWidth="1" style="63" min="9" max="9"/>
    <col width="8.710000000000001" customWidth="1" style="63" min="10" max="26"/>
  </cols>
  <sheetData>
    <row r="1" ht="7.5" customHeight="1" s="63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4.25" customHeight="1" s="63"/>
    <row r="3" ht="30" customHeight="1" s="63">
      <c r="B3" s="2" t="inlineStr">
        <is>
          <t>JONCTION — Suivi financier</t>
        </is>
      </c>
    </row>
    <row r="4" ht="14.25" customHeight="1" s="63">
      <c r="B4" s="3" t="inlineStr">
        <is>
          <t>Année 2026 — remplissez Revenus &amp; Dépenses, tout se calcule automatiquement ici.</t>
        </is>
      </c>
    </row>
    <row r="5" ht="14.25" customHeight="1" s="63"/>
    <row r="6" ht="21.75" customHeight="1" s="63">
      <c r="B6" s="64" t="inlineStr">
        <is>
          <t>Chiffre d'affaires HT</t>
        </is>
      </c>
      <c r="C6" s="65" t="n"/>
      <c r="D6" s="64" t="inlineStr">
        <is>
          <t>Charges HT</t>
        </is>
      </c>
      <c r="E6" s="65" t="n"/>
      <c r="F6" s="64" t="inlineStr">
        <is>
          <t>Marge nette</t>
        </is>
      </c>
      <c r="G6" s="65" t="n"/>
      <c r="H6" s="64" t="inlineStr">
        <is>
          <t>Marge %</t>
        </is>
      </c>
      <c r="I6" s="65" t="n"/>
    </row>
    <row r="7" ht="39.75" customHeight="1" s="63">
      <c r="B7" s="66">
        <f>SUM(Revenus!E2:E501)</f>
        <v/>
      </c>
      <c r="C7" s="65" t="n"/>
      <c r="D7" s="66">
        <f>D23</f>
        <v/>
      </c>
      <c r="E7" s="65" t="n"/>
      <c r="F7" s="67">
        <f>B7-D7</f>
        <v/>
      </c>
      <c r="G7" s="65" t="n"/>
      <c r="H7" s="68">
        <f>IF(B7=0,0,F7/B7)</f>
        <v/>
      </c>
      <c r="I7" s="65" t="n"/>
    </row>
    <row r="8" ht="14.25" customHeight="1" s="63"/>
    <row r="9" ht="14.25" customHeight="1" s="63">
      <c r="B9" s="9" t="inlineStr">
        <is>
          <t>Suivi mensuel</t>
        </is>
      </c>
    </row>
    <row r="10" ht="24" customHeight="1" s="63">
      <c r="B10" s="10" t="inlineStr">
        <is>
          <t>Mois</t>
        </is>
      </c>
      <c r="C10" s="10" t="inlineStr">
        <is>
          <t>CA</t>
        </is>
      </c>
      <c r="D10" s="10" t="inlineStr">
        <is>
          <t>Charges</t>
        </is>
      </c>
      <c r="E10" s="10" t="inlineStr">
        <is>
          <t>Marge</t>
        </is>
      </c>
      <c r="F10" s="10" t="inlineStr">
        <is>
          <t>Marge %</t>
        </is>
      </c>
      <c r="G10" s="10" t="inlineStr">
        <is>
          <t>MRR récurrent</t>
        </is>
      </c>
      <c r="H10" s="10" t="inlineStr">
        <is>
          <t>Charges récurrentes</t>
        </is>
      </c>
    </row>
    <row r="11" ht="14.25" customHeight="1" s="63">
      <c r="B11" s="11" t="n">
        <v>46023</v>
      </c>
      <c r="C11" s="12">
        <f>SUMIFS(Revenus!$E$2:$E$501,Revenus!$G$2:$G$501,$B11)</f>
        <v/>
      </c>
      <c r="D11" s="12">
        <f>SUMIFS('Dépenses'!$F$2:$F$499,'Dépenses'!$H$2:$H$499,"&lt;="&amp;$B11,'Dépenses'!$G$2:$G$499,"Oui")*($B11&lt;=DATE(YEAR(TODAY()),MONTH(TODAY()),1))+SUMIFS('Dépenses'!$F$2:$F$499,'Dépenses'!$H$2:$H$499,$B11,'Dépenses'!$G$2:$G$499,"&lt;&gt;Oui")+SUMIFS('Charges fixes'!$D$2:$D$100,'Charges fixes'!$E$2:$E$100,"&lt;="&amp;$B11)*($B11&lt;=DATE(YEAR(TODAY()),MONTH(TODAY()),1))</f>
        <v/>
      </c>
      <c r="E11" s="13">
        <f>C11-D11</f>
        <v/>
      </c>
      <c r="F11" s="14">
        <f>IF(C11=0,0,E11/C11)</f>
        <v/>
      </c>
      <c r="G11" s="12">
        <f>SUMIFS(Revenus!$E$2:$E$501,Revenus!$G$2:$G$501,$B11,Revenus!$F$2:$F$501,"Oui")</f>
        <v/>
      </c>
      <c r="H11" s="12">
        <f>SUMIFS('Dépenses'!$F$2:$F$499,'Dépenses'!$H$2:$H$499,"&lt;="&amp;$B11,'Dépenses'!$G$2:$G$499,"Oui")*($B11&lt;=DATE(YEAR(TODAY()),MONTH(TODAY()),1))+SUMIFS('Charges fixes'!$D$2:$D$100,'Charges fixes'!$E$2:$E$100,"&lt;="&amp;$B11)*($B11&lt;=DATE(YEAR(TODAY()),MONTH(TODAY()),1))</f>
        <v/>
      </c>
    </row>
    <row r="12" ht="14.25" customHeight="1" s="63">
      <c r="B12" s="11" t="n">
        <v>46054</v>
      </c>
      <c r="C12" s="12">
        <f>SUMIFS(Revenus!$E$2:$E$501,Revenus!$G$2:$G$501,$B12)</f>
        <v/>
      </c>
      <c r="D12" s="12">
        <f>SUMIFS('Dépenses'!$F$2:$F$499,'Dépenses'!$H$2:$H$499,"&lt;="&amp;$B12,'Dépenses'!$G$2:$G$499,"Oui")*($B12&lt;=DATE(YEAR(TODAY()),MONTH(TODAY()),1))+SUMIFS('Dépenses'!$F$2:$F$499,'Dépenses'!$H$2:$H$499,$B12,'Dépenses'!$G$2:$G$499,"&lt;&gt;Oui")+SUMIFS('Charges fixes'!$D$2:$D$100,'Charges fixes'!$E$2:$E$100,"&lt;="&amp;$B12)*($B12&lt;=DATE(YEAR(TODAY()),MONTH(TODAY()),1))</f>
        <v/>
      </c>
      <c r="E12" s="13">
        <f>C12-D12</f>
        <v/>
      </c>
      <c r="F12" s="14">
        <f>IF(C12=0,0,E12/C12)</f>
        <v/>
      </c>
      <c r="G12" s="12">
        <f>SUMIFS(Revenus!$E$2:$E$501,Revenus!$G$2:$G$501,$B12,Revenus!$F$2:$F$501,"Oui")</f>
        <v/>
      </c>
      <c r="H12" s="12">
        <f>SUMIFS('Dépenses'!$F$2:$F$499,'Dépenses'!$H$2:$H$499,"&lt;="&amp;$B12,'Dépenses'!$G$2:$G$499,"Oui")*($B12&lt;=DATE(YEAR(TODAY()),MONTH(TODAY()),1))+SUMIFS('Charges fixes'!$D$2:$D$100,'Charges fixes'!$E$2:$E$100,"&lt;="&amp;$B12)*($B12&lt;=DATE(YEAR(TODAY()),MONTH(TODAY()),1))</f>
        <v/>
      </c>
    </row>
    <row r="13" ht="14.25" customHeight="1" s="63">
      <c r="B13" s="11" t="n">
        <v>46082</v>
      </c>
      <c r="C13" s="12">
        <f>SUMIFS(Revenus!$E$2:$E$501,Revenus!$G$2:$G$501,$B13)</f>
        <v/>
      </c>
      <c r="D13" s="12">
        <f>SUMIFS('Dépenses'!$F$2:$F$499,'Dépenses'!$H$2:$H$499,"&lt;="&amp;$B13,'Dépenses'!$G$2:$G$499,"Oui")*($B13&lt;=DATE(YEAR(TODAY()),MONTH(TODAY()),1))+SUMIFS('Dépenses'!$F$2:$F$499,'Dépenses'!$H$2:$H$499,$B13,'Dépenses'!$G$2:$G$499,"&lt;&gt;Oui")+SUMIFS('Charges fixes'!$D$2:$D$100,'Charges fixes'!$E$2:$E$100,"&lt;="&amp;$B13)*($B13&lt;=DATE(YEAR(TODAY()),MONTH(TODAY()),1))</f>
        <v/>
      </c>
      <c r="E13" s="13">
        <f>C13-D13</f>
        <v/>
      </c>
      <c r="F13" s="14">
        <f>IF(C13=0,0,E13/C13)</f>
        <v/>
      </c>
      <c r="G13" s="12">
        <f>SUMIFS(Revenus!$E$2:$E$501,Revenus!$G$2:$G$501,$B13,Revenus!$F$2:$F$501,"Oui")</f>
        <v/>
      </c>
      <c r="H13" s="12">
        <f>SUMIFS('Dépenses'!$F$2:$F$499,'Dépenses'!$H$2:$H$499,"&lt;="&amp;$B13,'Dépenses'!$G$2:$G$499,"Oui")*($B13&lt;=DATE(YEAR(TODAY()),MONTH(TODAY()),1))+SUMIFS('Charges fixes'!$D$2:$D$100,'Charges fixes'!$E$2:$E$100,"&lt;="&amp;$B13)*($B13&lt;=DATE(YEAR(TODAY()),MONTH(TODAY()),1))</f>
        <v/>
      </c>
    </row>
    <row r="14" ht="14.25" customHeight="1" s="63">
      <c r="B14" s="11" t="n">
        <v>46113</v>
      </c>
      <c r="C14" s="12">
        <f>SUMIFS(Revenus!$E$2:$E$501,Revenus!$G$2:$G$501,$B14)</f>
        <v/>
      </c>
      <c r="D14" s="12">
        <f>SUMIFS('Dépenses'!$F$2:$F$499,'Dépenses'!$H$2:$H$499,"&lt;="&amp;$B14,'Dépenses'!$G$2:$G$499,"Oui")*($B14&lt;=DATE(YEAR(TODAY()),MONTH(TODAY()),1))+SUMIFS('Dépenses'!$F$2:$F$499,'Dépenses'!$H$2:$H$499,$B14,'Dépenses'!$G$2:$G$499,"&lt;&gt;Oui")+SUMIFS('Charges fixes'!$D$2:$D$100,'Charges fixes'!$E$2:$E$100,"&lt;="&amp;$B14)*($B14&lt;=DATE(YEAR(TODAY()),MONTH(TODAY()),1))</f>
        <v/>
      </c>
      <c r="E14" s="13">
        <f>C14-D14</f>
        <v/>
      </c>
      <c r="F14" s="14">
        <f>IF(C14=0,0,E14/C14)</f>
        <v/>
      </c>
      <c r="G14" s="12">
        <f>SUMIFS(Revenus!$E$2:$E$501,Revenus!$G$2:$G$501,$B14,Revenus!$F$2:$F$501,"Oui")</f>
        <v/>
      </c>
      <c r="H14" s="12">
        <f>SUMIFS('Dépenses'!$F$2:$F$499,'Dépenses'!$H$2:$H$499,"&lt;="&amp;$B14,'Dépenses'!$G$2:$G$499,"Oui")*($B14&lt;=DATE(YEAR(TODAY()),MONTH(TODAY()),1))+SUMIFS('Charges fixes'!$D$2:$D$100,'Charges fixes'!$E$2:$E$100,"&lt;="&amp;$B14)*($B14&lt;=DATE(YEAR(TODAY()),MONTH(TODAY()),1))</f>
        <v/>
      </c>
    </row>
    <row r="15" ht="14.25" customHeight="1" s="63">
      <c r="B15" s="11" t="n">
        <v>46143</v>
      </c>
      <c r="C15" s="12">
        <f>SUMIFS(Revenus!$E$2:$E$501,Revenus!$G$2:$G$501,$B15)</f>
        <v/>
      </c>
      <c r="D15" s="12">
        <f>SUMIFS('Dépenses'!$F$2:$F$499,'Dépenses'!$H$2:$H$499,"&lt;="&amp;$B15,'Dépenses'!$G$2:$G$499,"Oui")*($B15&lt;=DATE(YEAR(TODAY()),MONTH(TODAY()),1))+SUMIFS('Dépenses'!$F$2:$F$499,'Dépenses'!$H$2:$H$499,$B15,'Dépenses'!$G$2:$G$499,"&lt;&gt;Oui")+SUMIFS('Charges fixes'!$D$2:$D$100,'Charges fixes'!$E$2:$E$100,"&lt;="&amp;$B15)*($B15&lt;=DATE(YEAR(TODAY()),MONTH(TODAY()),1))</f>
        <v/>
      </c>
      <c r="E15" s="13">
        <f>C15-D15</f>
        <v/>
      </c>
      <c r="F15" s="14">
        <f>IF(C15=0,0,E15/C15)</f>
        <v/>
      </c>
      <c r="G15" s="12">
        <f>SUMIFS(Revenus!$E$2:$E$501,Revenus!$G$2:$G$501,$B15,Revenus!$F$2:$F$501,"Oui")</f>
        <v/>
      </c>
      <c r="H15" s="12">
        <f>SUMIFS('Dépenses'!$F$2:$F$499,'Dépenses'!$H$2:$H$499,"&lt;="&amp;$B15,'Dépenses'!$G$2:$G$499,"Oui")*($B15&lt;=DATE(YEAR(TODAY()),MONTH(TODAY()),1))+SUMIFS('Charges fixes'!$D$2:$D$100,'Charges fixes'!$E$2:$E$100,"&lt;="&amp;$B15)*($B15&lt;=DATE(YEAR(TODAY()),MONTH(TODAY()),1))</f>
        <v/>
      </c>
    </row>
    <row r="16" ht="14.25" customHeight="1" s="63">
      <c r="B16" s="11" t="n">
        <v>46174</v>
      </c>
      <c r="C16" s="12">
        <f>SUMIFS(Revenus!$E$2:$E$501,Revenus!$G$2:$G$501,$B16)</f>
        <v/>
      </c>
      <c r="D16" s="12" t="n"/>
      <c r="E16" s="13">
        <f>C16-D16</f>
        <v/>
      </c>
      <c r="F16" s="14">
        <f>IF(C16=0,0,E16/C16)</f>
        <v/>
      </c>
      <c r="G16" s="12">
        <f>SUMIFS(Revenus!$E$2:$E$501,Revenus!$G$2:$G$501,$B16,Revenus!$F$2:$F$501,"Oui")</f>
        <v/>
      </c>
      <c r="H16" s="12">
        <f>SUMIFS('Dépenses'!$F$2:$F$499,'Dépenses'!$H$2:$H$499,"&lt;="&amp;$B16,'Dépenses'!$G$2:$G$499,"Oui")*($B16&lt;=DATE(YEAR(TODAY()),MONTH(TODAY()),1))+SUMIFS('Charges fixes'!$D$2:$D$100,'Charges fixes'!$E$2:$E$100,"&lt;="&amp;$B16)*($B16&lt;=DATE(YEAR(TODAY()),MONTH(TODAY()),1))</f>
        <v/>
      </c>
    </row>
    <row r="17" ht="14.25" customHeight="1" s="63">
      <c r="B17" s="11" t="n">
        <v>46204</v>
      </c>
      <c r="C17" s="12">
        <f>SUMIFS(Revenus!$E$2:$E$501,Revenus!$G$2:$G$501,$B17)</f>
        <v/>
      </c>
      <c r="D17" s="12">
        <f>SUMIFS('Dépenses'!$F$2:$F$499,'Dépenses'!$H$2:$H$499,"&lt;="&amp;$B17,'Dépenses'!$G$2:$G$499,"Oui")*($B17&lt;=DATE(YEAR(TODAY()),MONTH(TODAY()),1))+SUMIFS('Dépenses'!$F$2:$F$499,'Dépenses'!$H$2:$H$499,$B17,'Dépenses'!$G$2:$G$499,"&lt;&gt;Oui")+SUMIFS('Charges fixes'!$D$2:$D$100,'Charges fixes'!$E$2:$E$100,"&lt;="&amp;$B17)*($B17&lt;=DATE(YEAR(TODAY()),MONTH(TODAY()),1))</f>
        <v/>
      </c>
      <c r="E17" s="13">
        <f>C17-D17</f>
        <v/>
      </c>
      <c r="F17" s="14">
        <f>IF(C17=0,0,E17/C17)</f>
        <v/>
      </c>
      <c r="G17" s="12">
        <f>SUMIFS(Revenus!$E$2:$E$501,Revenus!$G$2:$G$501,$B17,Revenus!$F$2:$F$501,"Oui")</f>
        <v/>
      </c>
      <c r="H17" s="12">
        <f>SUMIFS('Dépenses'!$F$2:$F$499,'Dépenses'!$H$2:$H$499,"&lt;="&amp;$B17,'Dépenses'!$G$2:$G$499,"Oui")*($B17&lt;=DATE(YEAR(TODAY()),MONTH(TODAY()),1))+SUMIFS('Charges fixes'!$D$2:$D$100,'Charges fixes'!$E$2:$E$100,"&lt;="&amp;$B17)*($B17&lt;=DATE(YEAR(TODAY()),MONTH(TODAY()),1))</f>
        <v/>
      </c>
    </row>
    <row r="18" ht="14.25" customHeight="1" s="63">
      <c r="B18" s="11" t="n">
        <v>46235</v>
      </c>
      <c r="C18" s="12">
        <f>SUMIFS(Revenus!$E$2:$E$501,Revenus!$G$2:$G$501,$B18)</f>
        <v/>
      </c>
      <c r="D18" s="12">
        <f>SUMIFS('Dépenses'!$F$2:$F$499,'Dépenses'!$H$2:$H$499,"&lt;="&amp;$B18,'Dépenses'!$G$2:$G$499,"Oui")*($B18&lt;=DATE(YEAR(TODAY()),MONTH(TODAY()),1))+SUMIFS('Dépenses'!$F$2:$F$499,'Dépenses'!$H$2:$H$499,$B18,'Dépenses'!$G$2:$G$499,"&lt;&gt;Oui")+SUMIFS('Charges fixes'!$D$2:$D$100,'Charges fixes'!$E$2:$E$100,"&lt;="&amp;$B18)*($B18&lt;=DATE(YEAR(TODAY()),MONTH(TODAY()),1))</f>
        <v/>
      </c>
      <c r="E18" s="13">
        <f>C18-D18</f>
        <v/>
      </c>
      <c r="F18" s="14">
        <f>IF(C18=0,0,E18/C18)</f>
        <v/>
      </c>
      <c r="G18" s="12">
        <f>SUMIFS(Revenus!$E$2:$E$501,Revenus!$G$2:$G$501,$B18,Revenus!$F$2:$F$501,"Oui")</f>
        <v/>
      </c>
      <c r="H18" s="12">
        <f>SUMIFS('Dépenses'!$F$2:$F$499,'Dépenses'!$H$2:$H$499,"&lt;="&amp;$B18,'Dépenses'!$G$2:$G$499,"Oui")*($B18&lt;=DATE(YEAR(TODAY()),MONTH(TODAY()),1))+SUMIFS('Charges fixes'!$D$2:$D$100,'Charges fixes'!$E$2:$E$100,"&lt;="&amp;$B18)*($B18&lt;=DATE(YEAR(TODAY()),MONTH(TODAY()),1))</f>
        <v/>
      </c>
    </row>
    <row r="19" ht="14.25" customHeight="1" s="63">
      <c r="B19" s="11" t="n">
        <v>46266</v>
      </c>
      <c r="C19" s="12">
        <f>SUMIFS(Revenus!$E$2:$E$501,Revenus!$G$2:$G$501,$B19)</f>
        <v/>
      </c>
      <c r="D19" s="12">
        <f>SUMIFS('Dépenses'!$F$2:$F$499,'Dépenses'!$H$2:$H$499,"&lt;="&amp;$B19,'Dépenses'!$G$2:$G$499,"Oui")*($B19&lt;=DATE(YEAR(TODAY()),MONTH(TODAY()),1))+SUMIFS('Dépenses'!$F$2:$F$499,'Dépenses'!$H$2:$H$499,$B19,'Dépenses'!$G$2:$G$499,"&lt;&gt;Oui")+SUMIFS('Charges fixes'!$D$2:$D$100,'Charges fixes'!$E$2:$E$100,"&lt;="&amp;$B19)*($B19&lt;=DATE(YEAR(TODAY()),MONTH(TODAY()),1))</f>
        <v/>
      </c>
      <c r="E19" s="13">
        <f>C19-D19</f>
        <v/>
      </c>
      <c r="F19" s="14">
        <f>IF(C19=0,0,E19/C19)</f>
        <v/>
      </c>
      <c r="G19" s="12">
        <f>SUMIFS(Revenus!$E$2:$E$501,Revenus!$G$2:$G$501,$B19,Revenus!$F$2:$F$501,"Oui")</f>
        <v/>
      </c>
      <c r="H19" s="12">
        <f>SUMIFS('Dépenses'!$F$2:$F$499,'Dépenses'!$H$2:$H$499,"&lt;="&amp;$B19,'Dépenses'!$G$2:$G$499,"Oui")*($B19&lt;=DATE(YEAR(TODAY()),MONTH(TODAY()),1))+SUMIFS('Charges fixes'!$D$2:$D$100,'Charges fixes'!$E$2:$E$100,"&lt;="&amp;$B19)*($B19&lt;=DATE(YEAR(TODAY()),MONTH(TODAY()),1))</f>
        <v/>
      </c>
    </row>
    <row r="20" ht="14.25" customHeight="1" s="63">
      <c r="B20" s="11" t="n">
        <v>46296</v>
      </c>
      <c r="C20" s="12">
        <f>SUMIFS(Revenus!$E$2:$E$501,Revenus!$G$2:$G$501,$B20)</f>
        <v/>
      </c>
      <c r="D20" s="12">
        <f>SUMIFS('Dépenses'!$F$2:$F$499,'Dépenses'!$H$2:$H$499,"&lt;="&amp;$B20,'Dépenses'!$G$2:$G$499,"Oui")*($B20&lt;=DATE(YEAR(TODAY()),MONTH(TODAY()),1))+SUMIFS('Dépenses'!$F$2:$F$499,'Dépenses'!$H$2:$H$499,$B20,'Dépenses'!$G$2:$G$499,"&lt;&gt;Oui")+SUMIFS('Charges fixes'!$D$2:$D$100,'Charges fixes'!$E$2:$E$100,"&lt;="&amp;$B20)*($B20&lt;=DATE(YEAR(TODAY()),MONTH(TODAY()),1))</f>
        <v/>
      </c>
      <c r="E20" s="13">
        <f>C20-D20</f>
        <v/>
      </c>
      <c r="F20" s="14">
        <f>IF(C20=0,0,E20/C20)</f>
        <v/>
      </c>
      <c r="G20" s="12">
        <f>SUMIFS(Revenus!$E$2:$E$501,Revenus!$G$2:$G$501,$B20,Revenus!$F$2:$F$501,"Oui")</f>
        <v/>
      </c>
      <c r="H20" s="12">
        <f>SUMIFS('Dépenses'!$F$2:$F$499,'Dépenses'!$H$2:$H$499,"&lt;="&amp;$B20,'Dépenses'!$G$2:$G$499,"Oui")*($B20&lt;=DATE(YEAR(TODAY()),MONTH(TODAY()),1))+SUMIFS('Charges fixes'!$D$2:$D$100,'Charges fixes'!$E$2:$E$100,"&lt;="&amp;$B20)*($B20&lt;=DATE(YEAR(TODAY()),MONTH(TODAY()),1))</f>
        <v/>
      </c>
    </row>
    <row r="21" ht="14.25" customHeight="1" s="63">
      <c r="B21" s="11" t="n">
        <v>46327</v>
      </c>
      <c r="C21" s="12">
        <f>SUMIFS(Revenus!$E$2:$E$501,Revenus!$G$2:$G$501,$B21)</f>
        <v/>
      </c>
      <c r="D21" s="12">
        <f>SUMIFS('Dépenses'!$F$2:$F$499,'Dépenses'!$H$2:$H$499,"&lt;="&amp;$B21,'Dépenses'!$G$2:$G$499,"Oui")*($B21&lt;=DATE(YEAR(TODAY()),MONTH(TODAY()),1))+SUMIFS('Dépenses'!$F$2:$F$499,'Dépenses'!$H$2:$H$499,$B21,'Dépenses'!$G$2:$G$499,"&lt;&gt;Oui")+SUMIFS('Charges fixes'!$D$2:$D$100,'Charges fixes'!$E$2:$E$100,"&lt;="&amp;$B21)*($B21&lt;=DATE(YEAR(TODAY()),MONTH(TODAY()),1))</f>
        <v/>
      </c>
      <c r="E21" s="13">
        <f>C21-D21</f>
        <v/>
      </c>
      <c r="F21" s="14">
        <f>IF(C21=0,0,E21/C21)</f>
        <v/>
      </c>
      <c r="G21" s="12">
        <f>SUMIFS(Revenus!$E$2:$E$501,Revenus!$G$2:$G$501,$B21,Revenus!$F$2:$F$501,"Oui")</f>
        <v/>
      </c>
      <c r="H21" s="12">
        <f>SUMIFS('Dépenses'!$F$2:$F$499,'Dépenses'!$H$2:$H$499,"&lt;="&amp;$B21,'Dépenses'!$G$2:$G$499,"Oui")*($B21&lt;=DATE(YEAR(TODAY()),MONTH(TODAY()),1))+SUMIFS('Charges fixes'!$D$2:$D$100,'Charges fixes'!$E$2:$E$100,"&lt;="&amp;$B21)*($B21&lt;=DATE(YEAR(TODAY()),MONTH(TODAY()),1))</f>
        <v/>
      </c>
    </row>
    <row r="22" ht="14.25" customHeight="1" s="63">
      <c r="B22" s="11" t="n">
        <v>46357</v>
      </c>
      <c r="C22" s="12">
        <f>SUMIFS(Revenus!$E$2:$E$501,Revenus!$G$2:$G$501,$B22)</f>
        <v/>
      </c>
      <c r="D22" s="12">
        <f>SUMIFS('Dépenses'!$F$2:$F$499,'Dépenses'!$H$2:$H$499,"&lt;="&amp;$B22,'Dépenses'!$G$2:$G$499,"Oui")*($B22&lt;=DATE(YEAR(TODAY()),MONTH(TODAY()),1))+SUMIFS('Dépenses'!$F$2:$F$499,'Dépenses'!$H$2:$H$499,$B22,'Dépenses'!$G$2:$G$499,"&lt;&gt;Oui")+SUMIFS('Charges fixes'!$D$2:$D$100,'Charges fixes'!$E$2:$E$100,"&lt;="&amp;$B22)*($B22&lt;=DATE(YEAR(TODAY()),MONTH(TODAY()),1))</f>
        <v/>
      </c>
      <c r="E22" s="13">
        <f>C22-D22</f>
        <v/>
      </c>
      <c r="F22" s="14">
        <f>IF(C22=0,0,E22/C22)</f>
        <v/>
      </c>
      <c r="G22" s="12">
        <f>SUMIFS(Revenus!$E$2:$E$501,Revenus!$G$2:$G$501,$B22,Revenus!$F$2:$F$501,"Oui")</f>
        <v/>
      </c>
      <c r="H22" s="12">
        <f>SUMIFS('Dépenses'!$F$2:$F$499,'Dépenses'!$H$2:$H$499,"&lt;="&amp;$B22,'Dépenses'!$G$2:$G$499,"Oui")*($B22&lt;=DATE(YEAR(TODAY()),MONTH(TODAY()),1))+SUMIFS('Charges fixes'!$D$2:$D$100,'Charges fixes'!$E$2:$E$100,"&lt;="&amp;$B22)*($B22&lt;=DATE(YEAR(TODAY()),MONTH(TODAY()),1))</f>
        <v/>
      </c>
    </row>
    <row r="23" ht="24" customHeight="1" s="63">
      <c r="B23" s="15" t="inlineStr">
        <is>
          <t>TOTAL</t>
        </is>
      </c>
      <c r="C23" s="16">
        <f>SUM(C11:C22)</f>
        <v/>
      </c>
      <c r="D23" s="16">
        <f>SUM(D11:D22)</f>
        <v/>
      </c>
      <c r="E23" s="16">
        <f>SUM(E11:E22)</f>
        <v/>
      </c>
      <c r="F23" s="17">
        <f>IF(C23=0,0,E23/C23)</f>
        <v/>
      </c>
      <c r="G23" s="16">
        <f>SUM(G11:G22)</f>
        <v/>
      </c>
      <c r="H23" s="16">
        <f>SUM(H11:H22)</f>
        <v/>
      </c>
    </row>
    <row r="24" ht="14.25" customHeight="1" s="63"/>
    <row r="25" ht="14.25" customHeight="1" s="63">
      <c r="B25" s="9" t="inlineStr">
        <is>
          <t>Revenus par catégorie</t>
        </is>
      </c>
      <c r="F25" s="9" t="inlineStr">
        <is>
          <t>Dépenses par catégorie</t>
        </is>
      </c>
    </row>
    <row r="26" ht="14.25" customHeight="1" s="63">
      <c r="B26" s="10" t="inlineStr">
        <is>
          <t>Catégorie</t>
        </is>
      </c>
      <c r="C26" s="10" t="inlineStr">
        <is>
          <t>Montant</t>
        </is>
      </c>
      <c r="D26" s="10" t="inlineStr">
        <is>
          <t>% du total</t>
        </is>
      </c>
      <c r="F26" s="10" t="inlineStr">
        <is>
          <t>Catégorie</t>
        </is>
      </c>
      <c r="G26" s="10" t="inlineStr">
        <is>
          <t>Montant</t>
        </is>
      </c>
      <c r="H26" s="10" t="inlineStr">
        <is>
          <t>% du total</t>
        </is>
      </c>
    </row>
    <row r="27" ht="14.25" customHeight="1" s="63">
      <c r="B27" s="18" t="inlineStr">
        <is>
          <t>Téléprospection</t>
        </is>
      </c>
      <c r="C27" s="12">
        <f>SUMIF(Revenus!$C$2:$C$501,B27,Revenus!$E$2:$E$501)</f>
        <v/>
      </c>
      <c r="D27" s="14">
        <f>IF($B$7=0,0,C27/$B$7)</f>
        <v/>
      </c>
      <c r="F27" s="18" t="inlineStr">
        <is>
          <t>Salaires Madagascar</t>
        </is>
      </c>
      <c r="G27" s="12">
        <f t="array" ref="G27">SUMPRODUCT(('Dépenses'!$D$2:$D$499=F27)*('Dépenses'!$G$2:$G$499&lt;&gt;"Oui")*('Dépenses'!$F$2:$F$499))+SUMPRODUCT(('Dépenses'!$D$2:$D$499=F27)*('Dépenses'!$G$2:$G$499="Oui")*('Dépenses'!$F$2:$F$499)*IF('Dépenses'!$H$2:$H$499="",0,INT((YEAR(TODAY())-YEAR('Dépenses'!$H$2:$H$499))*12+MONTH(TODAY())-MONTH('Dépenses'!$H$2:$H$499)+1)))+SUMPRODUCT(('Charges fixes'!$B$2:$B$100=F27)*('Charges fixes'!$D$2:$D$100)*IF('Charges fixes'!$E$2:$E$100="",0,INT((YEAR(TODAY())-YEAR('Charges fixes'!$E$2:$E$100))*12+MONTH(TODAY())-MONTH('Charges fixes'!$E$2:$E$100)+1)))</f>
        <v/>
      </c>
      <c r="H27" s="14">
        <f>IF($D$7=0,0,G27/$D$7)</f>
        <v/>
      </c>
    </row>
    <row r="28" ht="14.25" customHeight="1" s="63">
      <c r="B28" s="18" t="inlineStr">
        <is>
          <t>Automation (N8N/Make)</t>
        </is>
      </c>
      <c r="C28" s="12">
        <f>SUMIF(Revenus!$C$2:$C$501,B28,Revenus!$E$2:$E$501)</f>
        <v/>
      </c>
      <c r="D28" s="14">
        <f>IF($B$7=0,0,C28/$B$7)</f>
        <v/>
      </c>
      <c r="F28" s="18" t="inlineStr">
        <is>
          <t>Outils SaaS</t>
        </is>
      </c>
      <c r="G28" s="12">
        <f t="array" ref="G28">SUMPRODUCT(('Dépenses'!$D$2:$D$499=F28)*('Dépenses'!$G$2:$G$499&lt;&gt;"Oui")*('Dépenses'!$F$2:$F$499))+SUMPRODUCT(('Dépenses'!$D$2:$D$499=F28)*('Dépenses'!$G$2:$G$499="Oui")*('Dépenses'!$F$2:$F$499)*IF('Dépenses'!$H$2:$H$499="",0,INT((YEAR(TODAY())-YEAR('Dépenses'!$H$2:$H$499))*12+MONTH(TODAY())-MONTH('Dépenses'!$H$2:$H$499)+1)))+SUMPRODUCT(('Charges fixes'!$B$2:$B$100=F28)*('Charges fixes'!$D$2:$D$100)*IF('Charges fixes'!$E$2:$E$100="",0,INT((YEAR(TODAY())-YEAR('Charges fixes'!$E$2:$E$100))*12+MONTH(TODAY())-MONTH('Charges fixes'!$E$2:$E$100)+1)))</f>
        <v/>
      </c>
      <c r="H28" s="14">
        <f>IF($D$7=0,0,G28/$D$7)</f>
        <v/>
      </c>
    </row>
    <row r="29" ht="14.25" customHeight="1" s="63">
      <c r="B29" s="18" t="inlineStr">
        <is>
          <t>Agent IA custom</t>
        </is>
      </c>
      <c r="C29" s="12">
        <f>SUMIF(Revenus!$C$2:$C$501,B29,Revenus!$E$2:$E$501)</f>
        <v/>
      </c>
      <c r="D29" s="14">
        <f>IF($B$7=0,0,C29/$B$7)</f>
        <v/>
      </c>
      <c r="F29" s="18" t="inlineStr">
        <is>
          <t>Marketing / Pub</t>
        </is>
      </c>
      <c r="G29" s="12">
        <f t="array" ref="G29">SUMPRODUCT(('Dépenses'!$D$2:$D$499=F29)*('Dépenses'!$G$2:$G$499&lt;&gt;"Oui")*('Dépenses'!$F$2:$F$499))+SUMPRODUCT(('Dépenses'!$D$2:$D$499=F29)*('Dépenses'!$G$2:$G$499="Oui")*('Dépenses'!$F$2:$F$499)*IF('Dépenses'!$H$2:$H$499="",0,INT((YEAR(TODAY())-YEAR('Dépenses'!$H$2:$H$499))*12+MONTH(TODAY())-MONTH('Dépenses'!$H$2:$H$499)+1)))+SUMPRODUCT(('Charges fixes'!$B$2:$B$100=F29)*('Charges fixes'!$D$2:$D$100)*IF('Charges fixes'!$E$2:$E$100="",0,INT((YEAR(TODAY())-YEAR('Charges fixes'!$E$2:$E$100))*12+MONTH(TODAY())-MONTH('Charges fixes'!$E$2:$E$100)+1)))</f>
        <v/>
      </c>
      <c r="H29" s="14">
        <f>IF($D$7=0,0,G29/$D$7)</f>
        <v/>
      </c>
    </row>
    <row r="30" ht="14.25" customHeight="1" s="63">
      <c r="B30" s="18" t="inlineStr">
        <is>
          <t>Abonnement Unimatos</t>
        </is>
      </c>
      <c r="C30" s="12">
        <f>SUMIF(Revenus!$C$2:$C$501,B30,Revenus!$E$2:$E$501)</f>
        <v/>
      </c>
      <c r="D30" s="14">
        <f>IF($B$7=0,0,C30/$B$7)</f>
        <v/>
      </c>
      <c r="F30" s="18" t="inlineStr">
        <is>
          <t>Comptable / Juridique</t>
        </is>
      </c>
      <c r="G30" s="12">
        <f t="array" ref="G30">SUMPRODUCT(('Dépenses'!$D$2:$D$499=F30)*('Dépenses'!$G$2:$G$499&lt;&gt;"Oui")*('Dépenses'!$F$2:$F$499))+SUMPRODUCT(('Dépenses'!$D$2:$D$499=F30)*('Dépenses'!$G$2:$G$499="Oui")*('Dépenses'!$F$2:$F$499)*IF('Dépenses'!$H$2:$H$499="",0,INT((YEAR(TODAY())-YEAR('Dépenses'!$H$2:$H$499))*12+MONTH(TODAY())-MONTH('Dépenses'!$H$2:$H$499)+1)))+SUMPRODUCT(('Charges fixes'!$B$2:$B$100=F30)*('Charges fixes'!$D$2:$D$100)*IF('Charges fixes'!$E$2:$E$100="",0,INT((YEAR(TODAY())-YEAR('Charges fixes'!$E$2:$E$100))*12+MONTH(TODAY())-MONTH('Charges fixes'!$E$2:$E$100)+1)))</f>
        <v/>
      </c>
      <c r="H30" s="14">
        <f>IF($D$7=0,0,G30/$D$7)</f>
        <v/>
      </c>
    </row>
    <row r="31" ht="14.25" customHeight="1" s="63">
      <c r="B31" s="18" t="inlineStr">
        <is>
          <t>Audit / Conseil</t>
        </is>
      </c>
      <c r="C31" s="12">
        <f>SUMIF(Revenus!$C$2:$C$501,B31,Revenus!$E$2:$E$501)</f>
        <v/>
      </c>
      <c r="D31" s="14">
        <f>IF($B$7=0,0,C31/$B$7)</f>
        <v/>
      </c>
      <c r="F31" s="18" t="inlineStr">
        <is>
          <t>Charges sociales (URSSAF)</t>
        </is>
      </c>
      <c r="G31" s="12">
        <f t="array" ref="G31">SUMPRODUCT(('Dépenses'!$D$2:$D$499=F31)*('Dépenses'!$G$2:$G$499&lt;&gt;"Oui")*('Dépenses'!$F$2:$F$499))+SUMPRODUCT(('Dépenses'!$D$2:$D$499=F31)*('Dépenses'!$G$2:$G$499="Oui")*('Dépenses'!$F$2:$F$499)*IF('Dépenses'!$H$2:$H$499="",0,INT((YEAR(TODAY())-YEAR('Dépenses'!$H$2:$H$499))*12+MONTH(TODAY())-MONTH('Dépenses'!$H$2:$H$499)+1)))+SUMPRODUCT(('Charges fixes'!$B$2:$B$100=F31)*('Charges fixes'!$D$2:$D$100)*IF('Charges fixes'!$E$2:$E$100="",0,INT((YEAR(TODAY())-YEAR('Charges fixes'!$E$2:$E$100))*12+MONTH(TODAY())-MONTH('Charges fixes'!$E$2:$E$100)+1)))</f>
        <v/>
      </c>
      <c r="H31" s="14">
        <f>IF($D$7=0,0,G31/$D$7)</f>
        <v/>
      </c>
    </row>
    <row r="32" ht="14.25" customHeight="1" s="63">
      <c r="B32" s="18" t="inlineStr">
        <is>
          <t>Setup / One-shot</t>
        </is>
      </c>
      <c r="C32" s="12">
        <f>SUMIF(Revenus!$C$2:$C$501,B32,Revenus!$E$2:$E$501)</f>
        <v/>
      </c>
      <c r="D32" s="14">
        <f>IF($B$7=0,0,C32/$B$7)</f>
        <v/>
      </c>
      <c r="F32" s="18" t="inlineStr">
        <is>
          <t>Frais bancaires</t>
        </is>
      </c>
      <c r="G32" s="12">
        <f t="array" ref="G32">SUMPRODUCT(('Dépenses'!$D$2:$D$499=F32)*('Dépenses'!$G$2:$G$499&lt;&gt;"Oui")*('Dépenses'!$F$2:$F$499))+SUMPRODUCT(('Dépenses'!$D$2:$D$499=F32)*('Dépenses'!$G$2:$G$499="Oui")*('Dépenses'!$F$2:$F$499)*IF('Dépenses'!$H$2:$H$499="",0,INT((YEAR(TODAY())-YEAR('Dépenses'!$H$2:$H$499))*12+MONTH(TODAY())-MONTH('Dépenses'!$H$2:$H$499)+1)))+SUMPRODUCT(('Charges fixes'!$B$2:$B$100=F32)*('Charges fixes'!$D$2:$D$100)*IF('Charges fixes'!$E$2:$E$100="",0,INT((YEAR(TODAY())-YEAR('Charges fixes'!$E$2:$E$100))*12+MONTH(TODAY())-MONTH('Charges fixes'!$E$2:$E$100)+1)))</f>
        <v/>
      </c>
      <c r="H32" s="14">
        <f>IF($D$7=0,0,G32/$D$7)</f>
        <v/>
      </c>
    </row>
    <row r="33" ht="14.25" customHeight="1" s="63">
      <c r="B33" s="18" t="inlineStr">
        <is>
          <t>Formation</t>
        </is>
      </c>
      <c r="C33" s="12">
        <f>SUMIF(Revenus!$C$2:$C$501,B33,Revenus!$E$2:$E$501)</f>
        <v/>
      </c>
      <c r="D33" s="14">
        <f>IF($B$7=0,0,C33/$B$7)</f>
        <v/>
      </c>
      <c r="F33" s="18" t="inlineStr">
        <is>
          <t>Sous-traitance</t>
        </is>
      </c>
      <c r="G33" s="12">
        <f t="array" ref="G33">SUMPRODUCT(('Dépenses'!$D$2:$D$499=F33)*('Dépenses'!$G$2:$G$499&lt;&gt;"Oui")*('Dépenses'!$F$2:$F$499))+SUMPRODUCT(('Dépenses'!$D$2:$D$499=F33)*('Dépenses'!$G$2:$G$499="Oui")*('Dépenses'!$F$2:$F$499)*IF('Dépenses'!$H$2:$H$499="",0,INT((YEAR(TODAY())-YEAR('Dépenses'!$H$2:$H$499))*12+MONTH(TODAY())-MONTH('Dépenses'!$H$2:$H$499)+1)))+SUMPRODUCT(('Charges fixes'!$B$2:$B$100=F33)*('Charges fixes'!$D$2:$D$100)*IF('Charges fixes'!$E$2:$E$100="",0,INT((YEAR(TODAY())-YEAR('Charges fixes'!$E$2:$E$100))*12+MONTH(TODAY())-MONTH('Charges fixes'!$E$2:$E$100)+1)))</f>
        <v/>
      </c>
      <c r="H33" s="14">
        <f>IF($D$7=0,0,G33/$D$7)</f>
        <v/>
      </c>
    </row>
    <row r="34" ht="14.25" customHeight="1" s="63">
      <c r="B34" s="18" t="inlineStr">
        <is>
          <t>Autre</t>
        </is>
      </c>
      <c r="C34" s="12">
        <f>SUMIF(Revenus!$C$2:$C$501,B34,Revenus!$E$2:$E$501)</f>
        <v/>
      </c>
      <c r="D34" s="14">
        <f>IF($B$7=0,0,C34/$B$7)</f>
        <v/>
      </c>
      <c r="F34" s="18" t="inlineStr">
        <is>
          <t>Matériel / Infra</t>
        </is>
      </c>
      <c r="G34" s="12">
        <f t="array" ref="G34">SUMPRODUCT(('Dépenses'!$D$2:$D$499=F34)*('Dépenses'!$G$2:$G$499&lt;&gt;"Oui")*('Dépenses'!$F$2:$F$499))+SUMPRODUCT(('Dépenses'!$D$2:$D$499=F34)*('Dépenses'!$G$2:$G$499="Oui")*('Dépenses'!$F$2:$F$499)*IF('Dépenses'!$H$2:$H$499="",0,INT((YEAR(TODAY())-YEAR('Dépenses'!$H$2:$H$499))*12+MONTH(TODAY())-MONTH('Dépenses'!$H$2:$H$499)+1)))+SUMPRODUCT(('Charges fixes'!$B$2:$B$100=F34)*('Charges fixes'!$D$2:$D$100)*IF('Charges fixes'!$E$2:$E$100="",0,INT((YEAR(TODAY())-YEAR('Charges fixes'!$E$2:$E$100))*12+MONTH(TODAY())-MONTH('Charges fixes'!$E$2:$E$100)+1)))</f>
        <v/>
      </c>
      <c r="H34" s="14">
        <f>IF($D$7=0,0,G34/$D$7)</f>
        <v/>
      </c>
    </row>
    <row r="35" ht="14.25" customHeight="1" s="63">
      <c r="F35" s="18" t="inlineStr">
        <is>
          <t>Déplacements</t>
        </is>
      </c>
      <c r="G35" s="12">
        <f t="array" ref="G35">SUMPRODUCT(('Dépenses'!$D$2:$D$499=F35)*('Dépenses'!$G$2:$G$499&lt;&gt;"Oui")*('Dépenses'!$F$2:$F$499))+SUMPRODUCT(('Dépenses'!$D$2:$D$499=F35)*('Dépenses'!$G$2:$G$499="Oui")*('Dépenses'!$F$2:$F$499)*IF('Dépenses'!$H$2:$H$499="",0,INT((YEAR(TODAY())-YEAR('Dépenses'!$H$2:$H$499))*12+MONTH(TODAY())-MONTH('Dépenses'!$H$2:$H$499)+1)))+SUMPRODUCT(('Charges fixes'!$B$2:$B$100=F35)*('Charges fixes'!$D$2:$D$100)*IF('Charges fixes'!$E$2:$E$100="",0,INT((YEAR(TODAY())-YEAR('Charges fixes'!$E$2:$E$100))*12+MONTH(TODAY())-MONTH('Charges fixes'!$E$2:$E$100)+1)))</f>
        <v/>
      </c>
      <c r="H35" s="14">
        <f>IF($D$7=0,0,G35/$D$7)</f>
        <v/>
      </c>
    </row>
    <row r="36" ht="14.25" customHeight="1" s="63">
      <c r="F36" s="18" t="inlineStr">
        <is>
          <t>Autre</t>
        </is>
      </c>
      <c r="G36" s="12">
        <f t="array" ref="G36">SUMPRODUCT(('Dépenses'!$D$2:$D$499=F36)*('Dépenses'!$G$2:$G$499&lt;&gt;"Oui")*('Dépenses'!$F$2:$F$499))+SUMPRODUCT(('Dépenses'!$D$2:$D$499=F36)*('Dépenses'!$G$2:$G$499="Oui")*('Dépenses'!$F$2:$F$499)*IF('Dépenses'!$H$2:$H$499="",0,INT((YEAR(TODAY())-YEAR('Dépenses'!$H$2:$H$499))*12+MONTH(TODAY())-MONTH('Dépenses'!$H$2:$H$499)+1)))+SUMPRODUCT(('Charges fixes'!$B$2:$B$100=F36)*('Charges fixes'!$D$2:$D$100)*IF('Charges fixes'!$E$2:$E$100="",0,INT((YEAR(TODAY())-YEAR('Charges fixes'!$E$2:$E$100))*12+MONTH(TODAY())-MONTH('Charges fixes'!$E$2:$E$100)+1)))</f>
        <v/>
      </c>
      <c r="H36" s="14">
        <f>IF($D$7=0,0,G36/$D$7)</f>
        <v/>
      </c>
    </row>
    <row r="37" ht="14.25" customHeight="1" s="63"/>
    <row r="38" ht="14.25" customHeight="1" s="63">
      <c r="B38" s="19" t="inlineStr">
        <is>
          <t>Rentabilité par client</t>
        </is>
      </c>
    </row>
    <row r="39" ht="14.25" customHeight="1" s="63">
      <c r="B39" s="20" t="inlineStr">
        <is>
          <t>Client</t>
        </is>
      </c>
      <c r="C39" s="20" t="inlineStr">
        <is>
          <t>CA HT</t>
        </is>
      </c>
      <c r="D39" s="20" t="inlineStr">
        <is>
          <t>Charges</t>
        </is>
      </c>
      <c r="E39" s="20" t="inlineStr">
        <is>
          <t>Marge</t>
        </is>
      </c>
      <c r="F39" s="21" t="inlineStr">
        <is>
          <t>Marge %</t>
        </is>
      </c>
    </row>
    <row r="40" ht="14.25" customHeight="1" s="63">
      <c r="B40" s="22" t="inlineStr">
        <is>
          <t>Hassan</t>
        </is>
      </c>
      <c r="C40" s="23">
        <f t="array" ref="C40">SUMPRODUCT((Revenus!$B$2:$B$501=B40)*(Revenus!$F$2:$F$501&lt;&gt;"Oui")*(Revenus!$E$2:$E$501))+SUMPRODUCT((Revenus!$B$2:$B$501=B40)*(Revenus!$F$2:$F$501="Oui")*(Revenus!$E$2:$E$501)*IF(Revenus!$G$2:$G$501="",0,INT((YEAR(TODAY())-YEAR(Revenus!$G$2:$G$501))*12+MONTH(TODAY())-MONTH(Revenus!$G$2:$G$501)+1)))</f>
        <v/>
      </c>
      <c r="D40" s="23">
        <f t="array" ref="D40">SUMPRODUCT(('Dépenses'!$B$2:$B$499=B40)*('Dépenses'!$G$2:$G$499&lt;&gt;"Oui")*('Dépenses'!$F$2:$F$499))+SUMPRODUCT(('Dépenses'!$B$2:$B$499=B40)*('Dépenses'!$G$2:$G$499="Oui")*('Dépenses'!$F$2:$F$499)*IF('Dépenses'!$H$2:$H$499="",0,INT((YEAR(TODAY())-YEAR('Dépenses'!$H$2:$H$499))*12+MONTH(TODAY())-MONTH('Dépenses'!$H$2:$H$499)+1)))+IF(B40="Général",0,SUMPRODUCT(('Charges fixes'!$D$2:$D$100)*IF('Charges fixes'!$E$2:$E$100="",0,INT((YEAR(TODAY())-YEAR('Charges fixes'!$E$2:$E$100))*12+MONTH(TODAY())-MONTH('Charges fixes'!$E$2:$E$100)+1)))/ROWS(UNIQUE(_xlws.FILTER(Revenus!$B$2:$B$501,Revenus!$B$2:$B$501&lt;&gt;""))))</f>
        <v/>
      </c>
      <c r="E40" s="24">
        <f>C40-D40</f>
        <v/>
      </c>
      <c r="F40" s="25">
        <f>IF(C40=0,0,E40/C40)</f>
        <v/>
      </c>
    </row>
    <row r="41" ht="14.25" customHeight="1" s="63">
      <c r="B41" s="22" t="inlineStr">
        <is>
          <t>Jennifer DA COSTA</t>
        </is>
      </c>
      <c r="C41" s="23">
        <f t="array" ref="C41">SUMPRODUCT((Revenus!$B$2:$B$501=B41)*(Revenus!$F$2:$F$501&lt;&gt;"Oui")*(Revenus!$E$2:$E$501))+SUMPRODUCT((Revenus!$B$2:$B$501=B41)*(Revenus!$F$2:$F$501="Oui")*(Revenus!$E$2:$E$501)*IF(Revenus!$G$2:$G$501="",0,INT((YEAR(TODAY())-YEAR(Revenus!$G$2:$G$501))*12+MONTH(TODAY())-MONTH(Revenus!$G$2:$G$501)+1)))</f>
        <v/>
      </c>
      <c r="D41" s="23">
        <f t="array" ref="D41">SUMPRODUCT(('Dépenses'!$B$2:$B$499=B41)*('Dépenses'!$G$2:$G$499&lt;&gt;"Oui")*('Dépenses'!$F$2:$F$499))+SUMPRODUCT(('Dépenses'!$B$2:$B$499=B41)*('Dépenses'!$G$2:$G$499="Oui")*('Dépenses'!$F$2:$F$499)*IF('Dépenses'!$H$2:$H$499="",0,INT((YEAR(TODAY())-YEAR('Dépenses'!$H$2:$H$499))*12+MONTH(TODAY())-MONTH('Dépenses'!$H$2:$H$499)+1)))+IF(B41="Général",0,SUMPRODUCT(('Charges fixes'!$D$2:$D$100)*IF('Charges fixes'!$E$2:$E$100="",0,INT((YEAR(TODAY())-YEAR('Charges fixes'!$E$2:$E$100))*12+MONTH(TODAY())-MONTH('Charges fixes'!$E$2:$E$100)+1)))/ROWS(UNIQUE(_xlws.FILTER(Revenus!$B$2:$B$501,Revenus!$B$2:$B$501&lt;&gt;""))))</f>
        <v/>
      </c>
      <c r="E41" s="24">
        <f>C41-D41</f>
        <v/>
      </c>
      <c r="F41" s="25">
        <f>IF(C41=0,0,E41/C41)</f>
        <v/>
      </c>
    </row>
    <row r="42" ht="14.25" customHeight="1" s="63">
      <c r="B42" s="22" t="inlineStr">
        <is>
          <t>Louis</t>
        </is>
      </c>
      <c r="C42" s="23">
        <f t="array" ref="C42">SUMPRODUCT((Revenus!$B$2:$B$501=B42)*(Revenus!$F$2:$F$501&lt;&gt;"Oui")*(Revenus!$E$2:$E$501))+SUMPRODUCT((Revenus!$B$2:$B$501=B42)*(Revenus!$F$2:$F$501="Oui")*(Revenus!$E$2:$E$501)*IF(Revenus!$G$2:$G$501="",0,INT((YEAR(TODAY())-YEAR(Revenus!$G$2:$G$501))*12+MONTH(TODAY())-MONTH(Revenus!$G$2:$G$501)+1)))</f>
        <v/>
      </c>
      <c r="D42" s="23">
        <f t="array" ref="D42">SUMPRODUCT(('Dépenses'!$B$2:$B$499=B42)*('Dépenses'!$G$2:$G$499&lt;&gt;"Oui")*('Dépenses'!$F$2:$F$499))+SUMPRODUCT(('Dépenses'!$B$2:$B$499=B42)*('Dépenses'!$G$2:$G$499="Oui")*('Dépenses'!$F$2:$F$499)*IF('Dépenses'!$H$2:$H$499="",0,INT((YEAR(TODAY())-YEAR('Dépenses'!$H$2:$H$499))*12+MONTH(TODAY())-MONTH('Dépenses'!$H$2:$H$499)+1)))+IF(B42="Général",0,SUMPRODUCT(('Charges fixes'!$D$2:$D$100)*IF('Charges fixes'!$E$2:$E$100="",0,INT((YEAR(TODAY())-YEAR('Charges fixes'!$E$2:$E$100))*12+MONTH(TODAY())-MONTH('Charges fixes'!$E$2:$E$100)+1)))/ROWS(UNIQUE(_xlws.FILTER(Revenus!$B$2:$B$501,Revenus!$B$2:$B$501&lt;&gt;""))))</f>
        <v/>
      </c>
      <c r="E42" s="24">
        <f>C42-D42</f>
        <v/>
      </c>
      <c r="F42" s="25">
        <f>IF(C42=0,0,E42/C42)</f>
        <v/>
      </c>
    </row>
    <row r="43" ht="14.25" customHeight="1" s="63">
      <c r="B43" s="26" t="inlineStr">
        <is>
          <t>Général</t>
        </is>
      </c>
      <c r="C43" s="23">
        <f t="array" ref="C43">SUMPRODUCT((Revenus!$B$2:$B$501=B43)*(Revenus!$F$2:$F$501&lt;&gt;"Oui")*(Revenus!$E$2:$E$501))+SUMPRODUCT((Revenus!$B$2:$B$501=B43)*(Revenus!$F$2:$F$501="Oui")*(Revenus!$E$2:$E$501)*IF(Revenus!$G$2:$G$501="",0,INT((YEAR(TODAY())-YEAR(Revenus!$G$2:$G$501))*12+MONTH(TODAY())-MONTH(Revenus!$G$2:$G$501)+1)))</f>
        <v/>
      </c>
      <c r="D43" s="23">
        <f t="array" ref="D43">SUMPRODUCT(('Dépenses'!$B$2:$B$499=B43)*('Dépenses'!$G$2:$G$499&lt;&gt;"Oui")*('Dépenses'!$F$2:$F$499))+SUMPRODUCT(('Dépenses'!$B$2:$B$499=B43)*('Dépenses'!$G$2:$G$499="Oui")*('Dépenses'!$F$2:$F$499)*IF('Dépenses'!$H$2:$H$499="",0,INT((YEAR(TODAY())-YEAR('Dépenses'!$H$2:$H$499))*12+MONTH(TODAY())-MONTH('Dépenses'!$H$2:$H$499)+1)))+IF(B43="Général",0,SUMPRODUCT(('Charges fixes'!$D$2:$D$100)*IF('Charges fixes'!$E$2:$E$100="",0,INT((YEAR(TODAY())-YEAR('Charges fixes'!$E$2:$E$100))*12+MONTH(TODAY())-MONTH('Charges fixes'!$E$2:$E$100)+1)))/ROWS(UNIQUE(_xlws.FILTER(Revenus!$B$2:$B$501,Revenus!$B$2:$B$501&lt;&gt;""))))</f>
        <v/>
      </c>
      <c r="E43" s="27">
        <f>C43-D43</f>
        <v/>
      </c>
      <c r="F43" s="28">
        <f>IF(C43=0,0,E43/C43)</f>
        <v/>
      </c>
    </row>
    <row r="44" ht="14.25" customHeight="1" s="63">
      <c r="B44" s="29" t="inlineStr">
        <is>
          <t>TOTAL</t>
        </is>
      </c>
      <c r="C44" s="30">
        <f>SUM(C40:C43)</f>
        <v/>
      </c>
      <c r="D44" s="30">
        <f>SUM(D40:D43)</f>
        <v/>
      </c>
      <c r="E44" s="31">
        <f>SUM(E40:E43)</f>
        <v/>
      </c>
      <c r="F44" s="32">
        <f>IF(C44=0,0,E44/C44)</f>
        <v/>
      </c>
    </row>
    <row r="45" ht="14.25" customHeight="1" s="63"/>
    <row r="46" ht="14.25" customHeight="1" s="63"/>
    <row r="47" ht="14.25" customHeight="1" s="63"/>
    <row r="48" ht="14.25" customHeight="1" s="63"/>
    <row r="49" ht="14.25" customHeight="1" s="63"/>
    <row r="50" ht="14.25" customHeight="1" s="63"/>
    <row r="51" ht="14.25" customHeight="1" s="63">
      <c r="B51" s="33" t="inlineStr">
        <is>
          <t>Légende — couleur du texte</t>
        </is>
      </c>
    </row>
    <row r="52" ht="14.25" customHeight="1" s="63">
      <c r="B52" s="34" t="inlineStr">
        <is>
          <t>Bleu</t>
        </is>
      </c>
      <c r="C52" s="35" t="inlineStr">
        <is>
          <t>Valeur saisie manuellement</t>
        </is>
      </c>
    </row>
    <row r="53" ht="14.25" customHeight="1" s="63">
      <c r="B53" s="36" t="inlineStr">
        <is>
          <t>Noir</t>
        </is>
      </c>
      <c r="C53" s="35" t="inlineStr">
        <is>
          <t>Formule (calcul local)</t>
        </is>
      </c>
    </row>
    <row r="54" ht="14.25" customHeight="1" s="63">
      <c r="B54" s="37" t="inlineStr">
        <is>
          <t>Vert</t>
        </is>
      </c>
      <c r="C54" s="35" t="inlineStr">
        <is>
          <t>Formule qui lit un autre onglet</t>
        </is>
      </c>
    </row>
    <row r="55" ht="14.25" customHeight="1" s="63"/>
    <row r="56" ht="14.25" customHeight="1" s="63"/>
    <row r="57" ht="14.25" customHeight="1" s="63"/>
    <row r="58" ht="14.25" customHeight="1" s="63"/>
    <row r="59" ht="14.25" customHeight="1" s="63"/>
    <row r="60" ht="14.25" customHeight="1" s="63"/>
    <row r="61" ht="14.25" customHeight="1" s="63"/>
    <row r="62" ht="14.25" customHeight="1" s="63"/>
    <row r="63" ht="14.25" customHeight="1" s="63"/>
    <row r="64" ht="14.25" customHeight="1" s="63"/>
    <row r="65" ht="14.25" customHeight="1" s="63"/>
    <row r="66" ht="14.25" customHeight="1" s="63"/>
    <row r="67" ht="14.25" customHeight="1" s="63"/>
    <row r="68" ht="14.25" customHeight="1" s="63"/>
    <row r="69" ht="14.25" customHeight="1" s="63"/>
    <row r="70" ht="14.25" customHeight="1" s="63"/>
    <row r="71" ht="14.25" customHeight="1" s="63"/>
    <row r="72" ht="14.25" customHeight="1" s="63"/>
    <row r="73" ht="14.25" customHeight="1" s="63"/>
    <row r="74" ht="14.25" customHeight="1" s="63"/>
    <row r="75" ht="14.25" customHeight="1" s="63"/>
    <row r="76" ht="14.25" customHeight="1" s="63"/>
    <row r="77" ht="14.25" customHeight="1" s="63"/>
    <row r="78" ht="14.25" customHeight="1" s="63"/>
    <row r="79" ht="14.25" customHeight="1" s="63"/>
    <row r="80" ht="14.25" customHeight="1" s="63"/>
    <row r="81" ht="14.25" customHeight="1" s="63"/>
    <row r="82" ht="14.25" customHeight="1" s="63"/>
    <row r="83" ht="14.25" customHeight="1" s="63"/>
    <row r="84" ht="14.25" customHeight="1" s="63"/>
    <row r="85" ht="14.25" customHeight="1" s="63"/>
    <row r="86" ht="14.25" customHeight="1" s="63"/>
    <row r="87" ht="14.25" customHeight="1" s="63"/>
    <row r="88" ht="14.25" customHeight="1" s="63"/>
    <row r="89" ht="14.25" customHeight="1" s="63"/>
    <row r="90" ht="14.25" customHeight="1" s="63"/>
    <row r="91" ht="14.25" customHeight="1" s="63"/>
    <row r="92" ht="14.25" customHeight="1" s="63"/>
    <row r="93" ht="14.25" customHeight="1" s="63"/>
    <row r="94" ht="14.25" customHeight="1" s="63"/>
    <row r="95" ht="14.25" customHeight="1" s="63"/>
    <row r="96" ht="14.25" customHeight="1" s="63"/>
    <row r="97" ht="14.25" customHeight="1" s="63"/>
    <row r="98" ht="14.25" customHeight="1" s="63"/>
    <row r="99" ht="14.25" customHeight="1" s="63"/>
    <row r="100" ht="14.25" customHeight="1" s="63"/>
    <row r="101" ht="14.25" customHeight="1" s="63"/>
    <row r="102" ht="14.25" customHeight="1" s="63"/>
    <row r="103" ht="14.25" customHeight="1" s="63"/>
    <row r="104" ht="14.25" customHeight="1" s="63"/>
    <row r="105" ht="14.25" customHeight="1" s="63"/>
    <row r="106" ht="14.25" customHeight="1" s="63"/>
    <row r="107" ht="14.25" customHeight="1" s="63"/>
    <row r="108" ht="14.25" customHeight="1" s="63"/>
    <row r="109" ht="14.25" customHeight="1" s="63"/>
    <row r="110" ht="14.25" customHeight="1" s="63"/>
    <row r="111" ht="14.25" customHeight="1" s="63"/>
    <row r="112" ht="14.25" customHeight="1" s="63"/>
    <row r="113" ht="14.25" customHeight="1" s="63"/>
    <row r="114" ht="14.25" customHeight="1" s="63"/>
    <row r="115" ht="14.25" customHeight="1" s="63"/>
    <row r="116" ht="14.25" customHeight="1" s="63"/>
    <row r="117" ht="14.25" customHeight="1" s="63"/>
    <row r="118" ht="14.25" customHeight="1" s="63"/>
    <row r="119" ht="14.25" customHeight="1" s="63"/>
    <row r="120" ht="14.25" customHeight="1" s="63"/>
    <row r="121" ht="14.25" customHeight="1" s="63"/>
    <row r="122" ht="14.25" customHeight="1" s="63"/>
    <row r="123" ht="14.25" customHeight="1" s="63"/>
    <row r="124" ht="14.25" customHeight="1" s="63"/>
    <row r="125" ht="14.25" customHeight="1" s="63"/>
    <row r="126" ht="14.25" customHeight="1" s="63"/>
    <row r="127" ht="14.25" customHeight="1" s="63"/>
    <row r="128" ht="14.25" customHeight="1" s="63"/>
    <row r="129" ht="14.25" customHeight="1" s="63"/>
    <row r="130" ht="14.25" customHeight="1" s="63"/>
    <row r="131" ht="14.25" customHeight="1" s="63"/>
    <row r="132" ht="14.25" customHeight="1" s="63"/>
    <row r="133" ht="14.25" customHeight="1" s="63"/>
    <row r="134" ht="14.25" customHeight="1" s="63"/>
    <row r="135" ht="14.25" customHeight="1" s="63"/>
    <row r="136" ht="14.25" customHeight="1" s="63"/>
    <row r="137" ht="14.25" customHeight="1" s="63"/>
    <row r="138" ht="14.25" customHeight="1" s="63"/>
    <row r="139" ht="14.25" customHeight="1" s="63"/>
    <row r="140" ht="14.25" customHeight="1" s="63"/>
    <row r="141" ht="14.25" customHeight="1" s="63"/>
    <row r="142" ht="14.25" customHeight="1" s="63"/>
    <row r="143" ht="14.25" customHeight="1" s="63"/>
    <row r="144" ht="14.25" customHeight="1" s="63"/>
    <row r="145" ht="14.25" customHeight="1" s="63"/>
    <row r="146" ht="14.25" customHeight="1" s="63"/>
    <row r="147" ht="14.25" customHeight="1" s="63"/>
    <row r="148" ht="14.25" customHeight="1" s="63"/>
    <row r="149" ht="14.25" customHeight="1" s="63"/>
    <row r="150" ht="14.25" customHeight="1" s="63"/>
    <row r="151" ht="14.25" customHeight="1" s="63"/>
    <row r="152" ht="14.25" customHeight="1" s="63"/>
    <row r="153" ht="14.25" customHeight="1" s="63"/>
    <row r="154" ht="14.25" customHeight="1" s="63"/>
    <row r="155" ht="14.25" customHeight="1" s="63"/>
    <row r="156" ht="14.25" customHeight="1" s="63"/>
    <row r="157" ht="14.25" customHeight="1" s="63"/>
    <row r="158" ht="14.25" customHeight="1" s="63"/>
    <row r="159" ht="14.25" customHeight="1" s="63"/>
    <row r="160" ht="14.25" customHeight="1" s="63"/>
    <row r="161" ht="14.25" customHeight="1" s="63"/>
    <row r="162" ht="14.25" customHeight="1" s="63"/>
    <row r="163" ht="14.25" customHeight="1" s="63"/>
    <row r="164" ht="14.25" customHeight="1" s="63"/>
    <row r="165" ht="14.25" customHeight="1" s="63"/>
    <row r="166" ht="14.25" customHeight="1" s="63"/>
    <row r="167" ht="14.25" customHeight="1" s="63"/>
    <row r="168" ht="14.25" customHeight="1" s="63"/>
    <row r="169" ht="14.25" customHeight="1" s="63"/>
    <row r="170" ht="14.25" customHeight="1" s="63"/>
    <row r="171" ht="14.25" customHeight="1" s="63"/>
    <row r="172" ht="14.25" customHeight="1" s="63"/>
    <row r="173" ht="14.25" customHeight="1" s="63"/>
    <row r="174" ht="14.25" customHeight="1" s="63"/>
    <row r="175" ht="14.25" customHeight="1" s="63"/>
    <row r="176" ht="14.25" customHeight="1" s="63"/>
    <row r="177" ht="14.25" customHeight="1" s="63"/>
    <row r="178" ht="14.25" customHeight="1" s="63"/>
    <row r="179" ht="14.25" customHeight="1" s="63"/>
    <row r="180" ht="14.25" customHeight="1" s="63"/>
    <row r="181" ht="14.25" customHeight="1" s="63"/>
    <row r="182" ht="14.25" customHeight="1" s="63"/>
    <row r="183" ht="14.25" customHeight="1" s="63"/>
    <row r="184" ht="14.25" customHeight="1" s="63"/>
    <row r="185" ht="14.25" customHeight="1" s="63"/>
    <row r="186" ht="14.25" customHeight="1" s="63"/>
    <row r="187" ht="14.25" customHeight="1" s="63"/>
    <row r="188" ht="14.25" customHeight="1" s="63"/>
    <row r="189" ht="14.25" customHeight="1" s="63"/>
    <row r="190" ht="14.25" customHeight="1" s="63"/>
    <row r="191" ht="14.25" customHeight="1" s="63"/>
    <row r="192" ht="14.25" customHeight="1" s="63"/>
    <row r="193" ht="14.25" customHeight="1" s="63"/>
    <row r="194" ht="14.25" customHeight="1" s="63"/>
    <row r="195" ht="14.25" customHeight="1" s="63"/>
    <row r="196" ht="14.25" customHeight="1" s="63"/>
    <row r="197" ht="14.25" customHeight="1" s="63"/>
    <row r="198" ht="14.25" customHeight="1" s="63"/>
    <row r="199" ht="14.25" customHeight="1" s="63"/>
    <row r="200" ht="14.25" customHeight="1" s="63"/>
    <row r="201" ht="14.25" customHeight="1" s="63"/>
    <row r="202" ht="14.25" customHeight="1" s="63"/>
    <row r="203" ht="14.25" customHeight="1" s="63"/>
    <row r="204" ht="14.25" customHeight="1" s="63"/>
    <row r="205" ht="14.25" customHeight="1" s="63"/>
    <row r="206" ht="14.25" customHeight="1" s="63"/>
    <row r="207" ht="14.25" customHeight="1" s="63"/>
    <row r="208" ht="14.25" customHeight="1" s="63"/>
    <row r="209" ht="14.25" customHeight="1" s="63"/>
    <row r="210" ht="14.25" customHeight="1" s="63"/>
    <row r="211" ht="14.25" customHeight="1" s="63"/>
    <row r="212" ht="14.25" customHeight="1" s="63"/>
    <row r="213" ht="14.25" customHeight="1" s="63"/>
    <row r="214" ht="14.25" customHeight="1" s="63"/>
    <row r="215" ht="14.25" customHeight="1" s="63"/>
    <row r="216" ht="14.25" customHeight="1" s="63"/>
    <row r="217" ht="14.25" customHeight="1" s="63"/>
    <row r="218" ht="14.25" customHeight="1" s="63"/>
    <row r="219" ht="14.25" customHeight="1" s="63"/>
    <row r="220" ht="14.25" customHeight="1" s="63"/>
    <row r="221" ht="14.25" customHeight="1" s="63"/>
    <row r="222" ht="14.25" customHeight="1" s="63"/>
    <row r="223" ht="14.25" customHeight="1" s="63"/>
    <row r="224" ht="14.25" customHeight="1" s="63"/>
    <row r="225" ht="14.25" customHeight="1" s="63"/>
    <row r="226" ht="14.25" customHeight="1" s="63"/>
    <row r="227" ht="14.25" customHeight="1" s="63"/>
    <row r="228" ht="14.25" customHeight="1" s="63"/>
    <row r="229" ht="14.25" customHeight="1" s="63"/>
    <row r="230" ht="14.25" customHeight="1" s="63"/>
    <row r="231" ht="14.25" customHeight="1" s="63"/>
    <row r="232" ht="14.25" customHeight="1" s="63"/>
    <row r="233" ht="14.25" customHeight="1" s="63"/>
    <row r="234" ht="14.25" customHeight="1" s="63"/>
    <row r="235" ht="14.25" customHeight="1" s="63"/>
    <row r="236" ht="14.25" customHeight="1" s="63"/>
    <row r="237" ht="14.25" customHeight="1" s="63"/>
    <row r="238" ht="14.25" customHeight="1" s="63"/>
    <row r="239" ht="14.25" customHeight="1" s="63"/>
    <row r="240" ht="14.25" customHeight="1" s="63"/>
    <row r="241" ht="14.25" customHeight="1" s="63"/>
    <row r="242" ht="14.25" customHeight="1" s="63"/>
    <row r="243" ht="14.25" customHeight="1" s="63"/>
    <row r="244" ht="14.25" customHeight="1" s="63"/>
    <row r="245" ht="14.25" customHeight="1" s="63"/>
    <row r="246" ht="14.25" customHeight="1" s="63"/>
    <row r="247" ht="14.25" customHeight="1" s="63"/>
    <row r="248" ht="14.25" customHeight="1" s="63"/>
    <row r="249" ht="14.25" customHeight="1" s="63"/>
    <row r="250" ht="14.25" customHeight="1" s="63"/>
    <row r="251" ht="14.25" customHeight="1" s="63"/>
    <row r="252" ht="14.25" customHeight="1" s="63"/>
    <row r="253" ht="14.25" customHeight="1" s="63"/>
    <row r="254" ht="14.25" customHeight="1" s="63"/>
    <row r="255" ht="14.25" customHeight="1" s="63"/>
    <row r="256" ht="14.25" customHeight="1" s="63"/>
    <row r="257" ht="14.25" customHeight="1" s="63"/>
    <row r="258" ht="14.25" customHeight="1" s="63"/>
    <row r="259" ht="14.25" customHeight="1" s="63"/>
    <row r="260" ht="14.25" customHeight="1" s="63"/>
    <row r="261" ht="14.25" customHeight="1" s="63"/>
    <row r="262" ht="14.25" customHeight="1" s="63"/>
    <row r="263" ht="14.25" customHeight="1" s="63"/>
    <row r="264" ht="14.25" customHeight="1" s="63"/>
    <row r="265" ht="14.25" customHeight="1" s="63"/>
    <row r="266" ht="14.25" customHeight="1" s="63"/>
    <row r="267" ht="14.25" customHeight="1" s="63"/>
    <row r="268" ht="14.25" customHeight="1" s="63"/>
    <row r="269" ht="14.25" customHeight="1" s="63"/>
    <row r="270" ht="14.25" customHeight="1" s="63"/>
    <row r="271" ht="14.25" customHeight="1" s="63"/>
    <row r="272" ht="14.25" customHeight="1" s="63"/>
    <row r="273" ht="14.25" customHeight="1" s="63"/>
    <row r="274" ht="14.25" customHeight="1" s="63"/>
    <row r="275" ht="14.25" customHeight="1" s="63"/>
    <row r="276" ht="14.25" customHeight="1" s="63"/>
    <row r="277" ht="14.25" customHeight="1" s="63"/>
    <row r="278" ht="14.25" customHeight="1" s="63"/>
    <row r="279" ht="14.25" customHeight="1" s="63"/>
    <row r="280" ht="14.25" customHeight="1" s="63"/>
    <row r="281" ht="14.25" customHeight="1" s="63"/>
    <row r="282" ht="14.25" customHeight="1" s="63"/>
    <row r="283" ht="14.25" customHeight="1" s="63"/>
    <row r="284" ht="14.25" customHeight="1" s="63"/>
    <row r="285" ht="14.25" customHeight="1" s="63"/>
    <row r="286" ht="14.25" customHeight="1" s="63"/>
    <row r="287" ht="14.25" customHeight="1" s="63"/>
    <row r="288" ht="14.25" customHeight="1" s="63"/>
    <row r="289" ht="14.25" customHeight="1" s="63"/>
    <row r="290" ht="14.25" customHeight="1" s="63"/>
    <row r="291" ht="14.25" customHeight="1" s="63"/>
    <row r="292" ht="14.25" customHeight="1" s="63"/>
    <row r="293" ht="14.25" customHeight="1" s="63"/>
    <row r="294" ht="14.25" customHeight="1" s="63"/>
    <row r="295" ht="14.25" customHeight="1" s="63"/>
    <row r="296" ht="14.25" customHeight="1" s="63"/>
    <row r="297" ht="14.25" customHeight="1" s="63"/>
    <row r="298" ht="14.25" customHeight="1" s="63"/>
    <row r="299" ht="14.25" customHeight="1" s="63"/>
    <row r="300" ht="14.25" customHeight="1" s="63"/>
    <row r="301" ht="14.25" customHeight="1" s="63"/>
    <row r="302" ht="14.25" customHeight="1" s="63"/>
    <row r="303" ht="14.25" customHeight="1" s="63"/>
    <row r="304" ht="14.25" customHeight="1" s="63"/>
    <row r="305" ht="14.25" customHeight="1" s="63"/>
    <row r="306" ht="14.25" customHeight="1" s="63"/>
    <row r="307" ht="14.25" customHeight="1" s="63"/>
    <row r="308" ht="14.25" customHeight="1" s="63"/>
    <row r="309" ht="14.25" customHeight="1" s="63"/>
    <row r="310" ht="14.25" customHeight="1" s="63"/>
    <row r="311" ht="14.25" customHeight="1" s="63"/>
    <row r="312" ht="14.25" customHeight="1" s="63"/>
    <row r="313" ht="14.25" customHeight="1" s="63"/>
    <row r="314" ht="14.25" customHeight="1" s="63"/>
    <row r="315" ht="14.25" customHeight="1" s="63"/>
    <row r="316" ht="14.25" customHeight="1" s="63"/>
    <row r="317" ht="14.25" customHeight="1" s="63"/>
    <row r="318" ht="14.25" customHeight="1" s="63"/>
    <row r="319" ht="14.25" customHeight="1" s="63"/>
    <row r="320" ht="14.25" customHeight="1" s="63"/>
    <row r="321" ht="14.25" customHeight="1" s="63"/>
    <row r="322" ht="14.25" customHeight="1" s="63"/>
    <row r="323" ht="14.25" customHeight="1" s="63"/>
    <row r="324" ht="14.25" customHeight="1" s="63"/>
    <row r="325" ht="14.25" customHeight="1" s="63"/>
    <row r="326" ht="14.25" customHeight="1" s="63"/>
    <row r="327" ht="14.25" customHeight="1" s="63"/>
    <row r="328" ht="14.25" customHeight="1" s="63"/>
    <row r="329" ht="14.25" customHeight="1" s="63"/>
    <row r="330" ht="14.25" customHeight="1" s="63"/>
    <row r="331" ht="14.25" customHeight="1" s="63"/>
    <row r="332" ht="14.25" customHeight="1" s="63"/>
    <row r="333" ht="14.25" customHeight="1" s="63"/>
    <row r="334" ht="14.25" customHeight="1" s="63"/>
    <row r="335" ht="14.25" customHeight="1" s="63"/>
    <row r="336" ht="14.25" customHeight="1" s="63"/>
    <row r="337" ht="14.25" customHeight="1" s="63"/>
    <row r="338" ht="14.25" customHeight="1" s="63"/>
    <row r="339" ht="14.25" customHeight="1" s="63"/>
    <row r="340" ht="14.25" customHeight="1" s="63"/>
    <row r="341" ht="14.25" customHeight="1" s="63"/>
    <row r="342" ht="14.25" customHeight="1" s="63"/>
    <row r="343" ht="14.25" customHeight="1" s="63"/>
    <row r="344" ht="14.25" customHeight="1" s="63"/>
    <row r="345" ht="14.25" customHeight="1" s="63"/>
    <row r="346" ht="14.25" customHeight="1" s="63"/>
    <row r="347" ht="14.25" customHeight="1" s="63"/>
    <row r="348" ht="14.25" customHeight="1" s="63"/>
    <row r="349" ht="14.25" customHeight="1" s="63"/>
    <row r="350" ht="14.25" customHeight="1" s="63"/>
    <row r="351" ht="14.25" customHeight="1" s="63"/>
    <row r="352" ht="14.25" customHeight="1" s="63"/>
    <row r="353" ht="14.25" customHeight="1" s="63"/>
    <row r="354" ht="14.25" customHeight="1" s="63"/>
    <row r="355" ht="14.25" customHeight="1" s="63"/>
    <row r="356" ht="14.25" customHeight="1" s="63"/>
    <row r="357" ht="14.25" customHeight="1" s="63"/>
    <row r="358" ht="14.25" customHeight="1" s="63"/>
    <row r="359" ht="14.25" customHeight="1" s="63"/>
    <row r="360" ht="14.25" customHeight="1" s="63"/>
    <row r="361" ht="14.25" customHeight="1" s="63"/>
    <row r="362" ht="14.25" customHeight="1" s="63"/>
    <row r="363" ht="14.25" customHeight="1" s="63"/>
    <row r="364" ht="14.25" customHeight="1" s="63"/>
    <row r="365" ht="14.25" customHeight="1" s="63"/>
    <row r="366" ht="14.25" customHeight="1" s="63"/>
    <row r="367" ht="14.25" customHeight="1" s="63"/>
    <row r="368" ht="14.25" customHeight="1" s="63"/>
    <row r="369" ht="14.25" customHeight="1" s="63"/>
    <row r="370" ht="14.25" customHeight="1" s="63"/>
    <row r="371" ht="14.25" customHeight="1" s="63"/>
    <row r="372" ht="14.25" customHeight="1" s="63"/>
    <row r="373" ht="14.25" customHeight="1" s="63"/>
    <row r="374" ht="14.25" customHeight="1" s="63"/>
    <row r="375" ht="14.25" customHeight="1" s="63"/>
    <row r="376" ht="14.25" customHeight="1" s="63"/>
    <row r="377" ht="14.25" customHeight="1" s="63"/>
    <row r="378" ht="14.25" customHeight="1" s="63"/>
    <row r="379" ht="14.25" customHeight="1" s="63"/>
    <row r="380" ht="14.25" customHeight="1" s="63"/>
    <row r="381" ht="14.25" customHeight="1" s="63"/>
    <row r="382" ht="14.25" customHeight="1" s="63"/>
    <row r="383" ht="14.25" customHeight="1" s="63"/>
    <row r="384" ht="14.25" customHeight="1" s="63"/>
    <row r="385" ht="14.25" customHeight="1" s="63"/>
    <row r="386" ht="14.25" customHeight="1" s="63"/>
    <row r="387" ht="14.25" customHeight="1" s="63"/>
    <row r="388" ht="14.25" customHeight="1" s="63"/>
    <row r="389" ht="14.25" customHeight="1" s="63"/>
    <row r="390" ht="14.25" customHeight="1" s="63"/>
    <row r="391" ht="14.25" customHeight="1" s="63"/>
    <row r="392" ht="14.25" customHeight="1" s="63"/>
    <row r="393" ht="14.25" customHeight="1" s="63"/>
    <row r="394" ht="14.25" customHeight="1" s="63"/>
    <row r="395" ht="14.25" customHeight="1" s="63"/>
    <row r="396" ht="14.25" customHeight="1" s="63"/>
    <row r="397" ht="14.25" customHeight="1" s="63"/>
    <row r="398" ht="14.25" customHeight="1" s="63"/>
    <row r="399" ht="14.25" customHeight="1" s="63"/>
    <row r="400" ht="14.25" customHeight="1" s="63"/>
    <row r="401" ht="14.25" customHeight="1" s="63"/>
    <row r="402" ht="14.25" customHeight="1" s="63"/>
    <row r="403" ht="14.25" customHeight="1" s="63"/>
    <row r="404" ht="14.25" customHeight="1" s="63"/>
    <row r="405" ht="14.25" customHeight="1" s="63"/>
    <row r="406" ht="14.25" customHeight="1" s="63"/>
    <row r="407" ht="14.25" customHeight="1" s="63"/>
    <row r="408" ht="14.25" customHeight="1" s="63"/>
    <row r="409" ht="14.25" customHeight="1" s="63"/>
    <row r="410" ht="14.25" customHeight="1" s="63"/>
    <row r="411" ht="14.25" customHeight="1" s="63"/>
    <row r="412" ht="14.25" customHeight="1" s="63"/>
    <row r="413" ht="14.25" customHeight="1" s="63"/>
    <row r="414" ht="14.25" customHeight="1" s="63"/>
    <row r="415" ht="14.25" customHeight="1" s="63"/>
    <row r="416" ht="14.25" customHeight="1" s="63"/>
    <row r="417" ht="14.25" customHeight="1" s="63"/>
    <row r="418" ht="14.25" customHeight="1" s="63"/>
    <row r="419" ht="14.25" customHeight="1" s="63"/>
    <row r="420" ht="14.25" customHeight="1" s="63"/>
    <row r="421" ht="14.25" customHeight="1" s="63"/>
    <row r="422" ht="14.25" customHeight="1" s="63"/>
    <row r="423" ht="14.25" customHeight="1" s="63"/>
    <row r="424" ht="14.25" customHeight="1" s="63"/>
    <row r="425" ht="14.25" customHeight="1" s="63"/>
    <row r="426" ht="14.25" customHeight="1" s="63"/>
    <row r="427" ht="14.25" customHeight="1" s="63"/>
    <row r="428" ht="14.25" customHeight="1" s="63"/>
    <row r="429" ht="14.25" customHeight="1" s="63"/>
    <row r="430" ht="14.25" customHeight="1" s="63"/>
    <row r="431" ht="14.25" customHeight="1" s="63"/>
    <row r="432" ht="14.25" customHeight="1" s="63"/>
    <row r="433" ht="14.25" customHeight="1" s="63"/>
    <row r="434" ht="14.25" customHeight="1" s="63"/>
    <row r="435" ht="14.25" customHeight="1" s="63"/>
    <row r="436" ht="14.25" customHeight="1" s="63"/>
    <row r="437" ht="14.25" customHeight="1" s="63"/>
    <row r="438" ht="14.25" customHeight="1" s="63"/>
    <row r="439" ht="14.25" customHeight="1" s="63"/>
    <row r="440" ht="14.25" customHeight="1" s="63"/>
    <row r="441" ht="14.25" customHeight="1" s="63"/>
    <row r="442" ht="14.25" customHeight="1" s="63"/>
    <row r="443" ht="14.25" customHeight="1" s="63"/>
    <row r="444" ht="14.25" customHeight="1" s="63"/>
    <row r="445" ht="14.25" customHeight="1" s="63"/>
    <row r="446" ht="14.25" customHeight="1" s="63"/>
    <row r="447" ht="14.25" customHeight="1" s="63"/>
    <row r="448" ht="14.25" customHeight="1" s="63"/>
    <row r="449" ht="14.25" customHeight="1" s="63"/>
    <row r="450" ht="14.25" customHeight="1" s="63"/>
    <row r="451" ht="14.25" customHeight="1" s="63"/>
    <row r="452" ht="14.25" customHeight="1" s="63"/>
    <row r="453" ht="14.25" customHeight="1" s="63"/>
    <row r="454" ht="14.25" customHeight="1" s="63"/>
    <row r="455" ht="14.25" customHeight="1" s="63"/>
    <row r="456" ht="14.25" customHeight="1" s="63"/>
    <row r="457" ht="14.25" customHeight="1" s="63"/>
    <row r="458" ht="14.25" customHeight="1" s="63"/>
    <row r="459" ht="14.25" customHeight="1" s="63"/>
    <row r="460" ht="14.25" customHeight="1" s="63"/>
    <row r="461" ht="14.25" customHeight="1" s="63"/>
    <row r="462" ht="14.25" customHeight="1" s="63"/>
    <row r="463" ht="14.25" customHeight="1" s="63"/>
    <row r="464" ht="14.25" customHeight="1" s="63"/>
    <row r="465" ht="14.25" customHeight="1" s="63"/>
    <row r="466" ht="14.25" customHeight="1" s="63"/>
    <row r="467" ht="14.25" customHeight="1" s="63"/>
    <row r="468" ht="14.25" customHeight="1" s="63"/>
    <row r="469" ht="14.25" customHeight="1" s="63"/>
    <row r="470" ht="14.25" customHeight="1" s="63"/>
    <row r="471" ht="14.25" customHeight="1" s="63"/>
    <row r="472" ht="14.25" customHeight="1" s="63"/>
    <row r="473" ht="14.25" customHeight="1" s="63"/>
    <row r="474" ht="14.25" customHeight="1" s="63"/>
    <row r="475" ht="14.25" customHeight="1" s="63"/>
    <row r="476" ht="14.25" customHeight="1" s="63"/>
    <row r="477" ht="14.25" customHeight="1" s="63"/>
    <row r="478" ht="14.25" customHeight="1" s="63"/>
    <row r="479" ht="14.25" customHeight="1" s="63"/>
    <row r="480" ht="14.25" customHeight="1" s="63"/>
    <row r="481" ht="14.25" customHeight="1" s="63"/>
    <row r="482" ht="14.25" customHeight="1" s="63"/>
    <row r="483" ht="14.25" customHeight="1" s="63"/>
    <row r="484" ht="14.25" customHeight="1" s="63"/>
    <row r="485" ht="14.25" customHeight="1" s="63"/>
    <row r="486" ht="14.25" customHeight="1" s="63"/>
    <row r="487" ht="14.25" customHeight="1" s="63"/>
    <row r="488" ht="14.25" customHeight="1" s="63"/>
    <row r="489" ht="14.25" customHeight="1" s="63"/>
    <row r="490" ht="14.25" customHeight="1" s="63"/>
    <row r="491" ht="14.25" customHeight="1" s="63"/>
    <row r="492" ht="14.25" customHeight="1" s="63"/>
    <row r="493" ht="14.25" customHeight="1" s="63"/>
    <row r="494" ht="14.25" customHeight="1" s="63"/>
    <row r="495" ht="14.25" customHeight="1" s="63"/>
    <row r="496" ht="14.25" customHeight="1" s="63"/>
    <row r="497" ht="14.25" customHeight="1" s="63"/>
    <row r="498" ht="14.25" customHeight="1" s="63"/>
    <row r="499" ht="14.25" customHeight="1" s="63"/>
    <row r="500" ht="14.25" customHeight="1" s="63"/>
    <row r="501" ht="14.25" customHeight="1" s="63"/>
    <row r="502" ht="14.25" customHeight="1" s="63"/>
    <row r="503" ht="14.25" customHeight="1" s="63"/>
    <row r="504" ht="14.25" customHeight="1" s="63"/>
    <row r="505" ht="14.25" customHeight="1" s="63"/>
    <row r="506" ht="14.25" customHeight="1" s="63"/>
    <row r="507" ht="14.25" customHeight="1" s="63"/>
    <row r="508" ht="14.25" customHeight="1" s="63"/>
    <row r="509" ht="14.25" customHeight="1" s="63"/>
    <row r="510" ht="14.25" customHeight="1" s="63"/>
    <row r="511" ht="14.25" customHeight="1" s="63"/>
    <row r="512" ht="14.25" customHeight="1" s="63"/>
    <row r="513" ht="14.25" customHeight="1" s="63"/>
    <row r="514" ht="14.25" customHeight="1" s="63"/>
    <row r="515" ht="14.25" customHeight="1" s="63"/>
    <row r="516" ht="14.25" customHeight="1" s="63"/>
    <row r="517" ht="14.25" customHeight="1" s="63"/>
    <row r="518" ht="14.25" customHeight="1" s="63"/>
    <row r="519" ht="14.25" customHeight="1" s="63"/>
    <row r="520" ht="14.25" customHeight="1" s="63"/>
    <row r="521" ht="14.25" customHeight="1" s="63"/>
    <row r="522" ht="14.25" customHeight="1" s="63"/>
    <row r="523" ht="14.25" customHeight="1" s="63"/>
    <row r="524" ht="14.25" customHeight="1" s="63"/>
    <row r="525" ht="14.25" customHeight="1" s="63"/>
    <row r="526" ht="14.25" customHeight="1" s="63"/>
    <row r="527" ht="14.25" customHeight="1" s="63"/>
    <row r="528" ht="14.25" customHeight="1" s="63"/>
    <row r="529" ht="14.25" customHeight="1" s="63"/>
    <row r="530" ht="14.25" customHeight="1" s="63"/>
    <row r="531" ht="14.25" customHeight="1" s="63"/>
    <row r="532" ht="14.25" customHeight="1" s="63"/>
    <row r="533" ht="14.25" customHeight="1" s="63"/>
    <row r="534" ht="14.25" customHeight="1" s="63"/>
    <row r="535" ht="14.25" customHeight="1" s="63"/>
    <row r="536" ht="14.25" customHeight="1" s="63"/>
    <row r="537" ht="14.25" customHeight="1" s="63"/>
    <row r="538" ht="14.25" customHeight="1" s="63"/>
    <row r="539" ht="14.25" customHeight="1" s="63"/>
    <row r="540" ht="14.25" customHeight="1" s="63"/>
    <row r="541" ht="14.25" customHeight="1" s="63"/>
    <row r="542" ht="14.25" customHeight="1" s="63"/>
    <row r="543" ht="14.25" customHeight="1" s="63"/>
    <row r="544" ht="14.25" customHeight="1" s="63"/>
    <row r="545" ht="14.25" customHeight="1" s="63"/>
    <row r="546" ht="14.25" customHeight="1" s="63"/>
    <row r="547" ht="14.25" customHeight="1" s="63"/>
    <row r="548" ht="14.25" customHeight="1" s="63"/>
    <row r="549" ht="14.25" customHeight="1" s="63"/>
    <row r="550" ht="14.25" customHeight="1" s="63"/>
    <row r="551" ht="14.25" customHeight="1" s="63"/>
    <row r="552" ht="14.25" customHeight="1" s="63"/>
    <row r="553" ht="14.25" customHeight="1" s="63"/>
    <row r="554" ht="14.25" customHeight="1" s="63"/>
    <row r="555" ht="14.25" customHeight="1" s="63"/>
    <row r="556" ht="14.25" customHeight="1" s="63"/>
    <row r="557" ht="14.25" customHeight="1" s="63"/>
    <row r="558" ht="14.25" customHeight="1" s="63"/>
    <row r="559" ht="14.25" customHeight="1" s="63"/>
    <row r="560" ht="14.25" customHeight="1" s="63"/>
    <row r="561" ht="14.25" customHeight="1" s="63"/>
    <row r="562" ht="14.25" customHeight="1" s="63"/>
    <row r="563" ht="14.25" customHeight="1" s="63"/>
    <row r="564" ht="14.25" customHeight="1" s="63"/>
    <row r="565" ht="14.25" customHeight="1" s="63"/>
    <row r="566" ht="14.25" customHeight="1" s="63"/>
    <row r="567" ht="14.25" customHeight="1" s="63"/>
    <row r="568" ht="14.25" customHeight="1" s="63"/>
    <row r="569" ht="14.25" customHeight="1" s="63"/>
    <row r="570" ht="14.25" customHeight="1" s="63"/>
    <row r="571" ht="14.25" customHeight="1" s="63"/>
    <row r="572" ht="14.25" customHeight="1" s="63"/>
    <row r="573" ht="14.25" customHeight="1" s="63"/>
    <row r="574" ht="14.25" customHeight="1" s="63"/>
    <row r="575" ht="14.25" customHeight="1" s="63"/>
    <row r="576" ht="14.25" customHeight="1" s="63"/>
    <row r="577" ht="14.25" customHeight="1" s="63"/>
    <row r="578" ht="14.25" customHeight="1" s="63"/>
    <row r="579" ht="14.25" customHeight="1" s="63"/>
    <row r="580" ht="14.25" customHeight="1" s="63"/>
    <row r="581" ht="14.25" customHeight="1" s="63"/>
    <row r="582" ht="14.25" customHeight="1" s="63"/>
    <row r="583" ht="14.25" customHeight="1" s="63"/>
    <row r="584" ht="14.25" customHeight="1" s="63"/>
    <row r="585" ht="14.25" customHeight="1" s="63"/>
    <row r="586" ht="14.25" customHeight="1" s="63"/>
    <row r="587" ht="14.25" customHeight="1" s="63"/>
    <row r="588" ht="14.25" customHeight="1" s="63"/>
    <row r="589" ht="14.25" customHeight="1" s="63"/>
    <row r="590" ht="14.25" customHeight="1" s="63"/>
    <row r="591" ht="14.25" customHeight="1" s="63"/>
    <row r="592" ht="14.25" customHeight="1" s="63"/>
    <row r="593" ht="14.25" customHeight="1" s="63"/>
    <row r="594" ht="14.25" customHeight="1" s="63"/>
    <row r="595" ht="14.25" customHeight="1" s="63"/>
    <row r="596" ht="14.25" customHeight="1" s="63"/>
    <row r="597" ht="14.25" customHeight="1" s="63"/>
    <row r="598" ht="14.25" customHeight="1" s="63"/>
    <row r="599" ht="14.25" customHeight="1" s="63"/>
    <row r="600" ht="14.25" customHeight="1" s="63"/>
    <row r="601" ht="14.25" customHeight="1" s="63"/>
    <row r="602" ht="14.25" customHeight="1" s="63"/>
    <row r="603" ht="14.25" customHeight="1" s="63"/>
    <row r="604" ht="14.25" customHeight="1" s="63"/>
    <row r="605" ht="14.25" customHeight="1" s="63"/>
    <row r="606" ht="14.25" customHeight="1" s="63"/>
    <row r="607" ht="14.25" customHeight="1" s="63"/>
    <row r="608" ht="14.25" customHeight="1" s="63"/>
    <row r="609" ht="14.25" customHeight="1" s="63"/>
    <row r="610" ht="14.25" customHeight="1" s="63"/>
    <row r="611" ht="14.25" customHeight="1" s="63"/>
    <row r="612" ht="14.25" customHeight="1" s="63"/>
    <row r="613" ht="14.25" customHeight="1" s="63"/>
    <row r="614" ht="14.25" customHeight="1" s="63"/>
    <row r="615" ht="14.25" customHeight="1" s="63"/>
    <row r="616" ht="14.25" customHeight="1" s="63"/>
    <row r="617" ht="14.25" customHeight="1" s="63"/>
    <row r="618" ht="14.25" customHeight="1" s="63"/>
    <row r="619" ht="14.25" customHeight="1" s="63"/>
    <row r="620" ht="14.25" customHeight="1" s="63"/>
    <row r="621" ht="14.25" customHeight="1" s="63"/>
    <row r="622" ht="14.25" customHeight="1" s="63"/>
    <row r="623" ht="14.25" customHeight="1" s="63"/>
    <row r="624" ht="14.25" customHeight="1" s="63"/>
    <row r="625" ht="14.25" customHeight="1" s="63"/>
    <row r="626" ht="14.25" customHeight="1" s="63"/>
    <row r="627" ht="14.25" customHeight="1" s="63"/>
    <row r="628" ht="14.25" customHeight="1" s="63"/>
    <row r="629" ht="14.25" customHeight="1" s="63"/>
    <row r="630" ht="14.25" customHeight="1" s="63"/>
    <row r="631" ht="14.25" customHeight="1" s="63"/>
    <row r="632" ht="14.25" customHeight="1" s="63"/>
    <row r="633" ht="14.25" customHeight="1" s="63"/>
    <row r="634" ht="14.25" customHeight="1" s="63"/>
    <row r="635" ht="14.25" customHeight="1" s="63"/>
    <row r="636" ht="14.25" customHeight="1" s="63"/>
    <row r="637" ht="14.25" customHeight="1" s="63"/>
    <row r="638" ht="14.25" customHeight="1" s="63"/>
    <row r="639" ht="14.25" customHeight="1" s="63"/>
    <row r="640" ht="14.25" customHeight="1" s="63"/>
    <row r="641" ht="14.25" customHeight="1" s="63"/>
    <row r="642" ht="14.25" customHeight="1" s="63"/>
    <row r="643" ht="14.25" customHeight="1" s="63"/>
    <row r="644" ht="14.25" customHeight="1" s="63"/>
    <row r="645" ht="14.25" customHeight="1" s="63"/>
    <row r="646" ht="14.25" customHeight="1" s="63"/>
    <row r="647" ht="14.25" customHeight="1" s="63"/>
    <row r="648" ht="14.25" customHeight="1" s="63"/>
    <row r="649" ht="14.25" customHeight="1" s="63"/>
    <row r="650" ht="14.25" customHeight="1" s="63"/>
    <row r="651" ht="14.25" customHeight="1" s="63"/>
    <row r="652" ht="14.25" customHeight="1" s="63"/>
    <row r="653" ht="14.25" customHeight="1" s="63"/>
    <row r="654" ht="14.25" customHeight="1" s="63"/>
    <row r="655" ht="14.25" customHeight="1" s="63"/>
    <row r="656" ht="14.25" customHeight="1" s="63"/>
    <row r="657" ht="14.25" customHeight="1" s="63"/>
    <row r="658" ht="14.25" customHeight="1" s="63"/>
    <row r="659" ht="14.25" customHeight="1" s="63"/>
    <row r="660" ht="14.25" customHeight="1" s="63"/>
    <row r="661" ht="14.25" customHeight="1" s="63"/>
    <row r="662" ht="14.25" customHeight="1" s="63"/>
    <row r="663" ht="14.25" customHeight="1" s="63"/>
    <row r="664" ht="14.25" customHeight="1" s="63"/>
    <row r="665" ht="14.25" customHeight="1" s="63"/>
    <row r="666" ht="14.25" customHeight="1" s="63"/>
    <row r="667" ht="14.25" customHeight="1" s="63"/>
    <row r="668" ht="14.25" customHeight="1" s="63"/>
    <row r="669" ht="14.25" customHeight="1" s="63"/>
    <row r="670" ht="14.25" customHeight="1" s="63"/>
    <row r="671" ht="14.25" customHeight="1" s="63"/>
    <row r="672" ht="14.25" customHeight="1" s="63"/>
    <row r="673" ht="14.25" customHeight="1" s="63"/>
    <row r="674" ht="14.25" customHeight="1" s="63"/>
    <row r="675" ht="14.25" customHeight="1" s="63"/>
    <row r="676" ht="14.25" customHeight="1" s="63"/>
    <row r="677" ht="14.25" customHeight="1" s="63"/>
    <row r="678" ht="14.25" customHeight="1" s="63"/>
    <row r="679" ht="14.25" customHeight="1" s="63"/>
    <row r="680" ht="14.25" customHeight="1" s="63"/>
    <row r="681" ht="14.25" customHeight="1" s="63"/>
    <row r="682" ht="14.25" customHeight="1" s="63"/>
    <row r="683" ht="14.25" customHeight="1" s="63"/>
    <row r="684" ht="14.25" customHeight="1" s="63"/>
    <row r="685" ht="14.25" customHeight="1" s="63"/>
    <row r="686" ht="14.25" customHeight="1" s="63"/>
    <row r="687" ht="14.25" customHeight="1" s="63"/>
    <row r="688" ht="14.25" customHeight="1" s="63"/>
    <row r="689" ht="14.25" customHeight="1" s="63"/>
    <row r="690" ht="14.25" customHeight="1" s="63"/>
    <row r="691" ht="14.25" customHeight="1" s="63"/>
    <row r="692" ht="14.25" customHeight="1" s="63"/>
    <row r="693" ht="14.25" customHeight="1" s="63"/>
    <row r="694" ht="14.25" customHeight="1" s="63"/>
    <row r="695" ht="14.25" customHeight="1" s="63"/>
    <row r="696" ht="14.25" customHeight="1" s="63"/>
    <row r="697" ht="14.25" customHeight="1" s="63"/>
    <row r="698" ht="14.25" customHeight="1" s="63"/>
    <row r="699" ht="14.25" customHeight="1" s="63"/>
    <row r="700" ht="14.25" customHeight="1" s="63"/>
    <row r="701" ht="14.25" customHeight="1" s="63"/>
    <row r="702" ht="14.25" customHeight="1" s="63"/>
    <row r="703" ht="14.25" customHeight="1" s="63"/>
    <row r="704" ht="14.25" customHeight="1" s="63"/>
    <row r="705" ht="14.25" customHeight="1" s="63"/>
    <row r="706" ht="14.25" customHeight="1" s="63"/>
    <row r="707" ht="14.25" customHeight="1" s="63"/>
    <row r="708" ht="14.25" customHeight="1" s="63"/>
    <row r="709" ht="14.25" customHeight="1" s="63"/>
    <row r="710" ht="14.25" customHeight="1" s="63"/>
    <row r="711" ht="14.25" customHeight="1" s="63"/>
    <row r="712" ht="14.25" customHeight="1" s="63"/>
    <row r="713" ht="14.25" customHeight="1" s="63"/>
    <row r="714" ht="14.25" customHeight="1" s="63"/>
    <row r="715" ht="14.25" customHeight="1" s="63"/>
    <row r="716" ht="14.25" customHeight="1" s="63"/>
    <row r="717" ht="14.25" customHeight="1" s="63"/>
    <row r="718" ht="14.25" customHeight="1" s="63"/>
    <row r="719" ht="14.25" customHeight="1" s="63"/>
    <row r="720" ht="14.25" customHeight="1" s="63"/>
    <row r="721" ht="14.25" customHeight="1" s="63"/>
    <row r="722" ht="14.25" customHeight="1" s="63"/>
    <row r="723" ht="14.25" customHeight="1" s="63"/>
    <row r="724" ht="14.25" customHeight="1" s="63"/>
    <row r="725" ht="14.25" customHeight="1" s="63"/>
    <row r="726" ht="14.25" customHeight="1" s="63"/>
    <row r="727" ht="14.25" customHeight="1" s="63"/>
    <row r="728" ht="14.25" customHeight="1" s="63"/>
    <row r="729" ht="14.25" customHeight="1" s="63"/>
    <row r="730" ht="14.25" customHeight="1" s="63"/>
    <row r="731" ht="14.25" customHeight="1" s="63"/>
    <row r="732" ht="14.25" customHeight="1" s="63"/>
    <row r="733" ht="14.25" customHeight="1" s="63"/>
    <row r="734" ht="14.25" customHeight="1" s="63"/>
    <row r="735" ht="14.25" customHeight="1" s="63"/>
    <row r="736" ht="14.25" customHeight="1" s="63"/>
    <row r="737" ht="14.25" customHeight="1" s="63"/>
    <row r="738" ht="14.25" customHeight="1" s="63"/>
    <row r="739" ht="14.25" customHeight="1" s="63"/>
    <row r="740" ht="14.25" customHeight="1" s="63"/>
    <row r="741" ht="14.25" customHeight="1" s="63"/>
    <row r="742" ht="14.25" customHeight="1" s="63"/>
    <row r="743" ht="14.25" customHeight="1" s="63"/>
    <row r="744" ht="14.25" customHeight="1" s="63"/>
    <row r="745" ht="14.25" customHeight="1" s="63"/>
    <row r="746" ht="14.25" customHeight="1" s="63"/>
    <row r="747" ht="14.25" customHeight="1" s="63"/>
    <row r="748" ht="14.25" customHeight="1" s="63"/>
    <row r="749" ht="14.25" customHeight="1" s="63"/>
    <row r="750" ht="14.25" customHeight="1" s="63"/>
    <row r="751" ht="14.25" customHeight="1" s="63"/>
    <row r="752" ht="14.25" customHeight="1" s="63"/>
    <row r="753" ht="14.25" customHeight="1" s="63"/>
    <row r="754" ht="14.25" customHeight="1" s="63"/>
    <row r="755" ht="14.25" customHeight="1" s="63"/>
    <row r="756" ht="14.25" customHeight="1" s="63"/>
    <row r="757" ht="14.25" customHeight="1" s="63"/>
    <row r="758" ht="14.25" customHeight="1" s="63"/>
    <row r="759" ht="14.25" customHeight="1" s="63"/>
    <row r="760" ht="14.25" customHeight="1" s="63"/>
    <row r="761" ht="14.25" customHeight="1" s="63"/>
    <row r="762" ht="14.25" customHeight="1" s="63"/>
    <row r="763" ht="14.25" customHeight="1" s="63"/>
    <row r="764" ht="14.25" customHeight="1" s="63"/>
    <row r="765" ht="14.25" customHeight="1" s="63"/>
    <row r="766" ht="14.25" customHeight="1" s="63"/>
    <row r="767" ht="14.25" customHeight="1" s="63"/>
    <row r="768" ht="14.25" customHeight="1" s="63"/>
    <row r="769" ht="14.25" customHeight="1" s="63"/>
    <row r="770" ht="14.25" customHeight="1" s="63"/>
    <row r="771" ht="14.25" customHeight="1" s="63"/>
    <row r="772" ht="14.25" customHeight="1" s="63"/>
    <row r="773" ht="14.25" customHeight="1" s="63"/>
    <row r="774" ht="14.25" customHeight="1" s="63"/>
    <row r="775" ht="14.25" customHeight="1" s="63"/>
    <row r="776" ht="14.25" customHeight="1" s="63"/>
    <row r="777" ht="14.25" customHeight="1" s="63"/>
    <row r="778" ht="14.25" customHeight="1" s="63"/>
    <row r="779" ht="14.25" customHeight="1" s="63"/>
    <row r="780" ht="14.25" customHeight="1" s="63"/>
    <row r="781" ht="14.25" customHeight="1" s="63"/>
    <row r="782" ht="14.25" customHeight="1" s="63"/>
    <row r="783" ht="14.25" customHeight="1" s="63"/>
    <row r="784" ht="14.25" customHeight="1" s="63"/>
    <row r="785" ht="14.25" customHeight="1" s="63"/>
    <row r="786" ht="14.25" customHeight="1" s="63"/>
    <row r="787" ht="14.25" customHeight="1" s="63"/>
    <row r="788" ht="14.25" customHeight="1" s="63"/>
    <row r="789" ht="14.25" customHeight="1" s="63"/>
    <row r="790" ht="14.25" customHeight="1" s="63"/>
    <row r="791" ht="14.25" customHeight="1" s="63"/>
    <row r="792" ht="14.25" customHeight="1" s="63"/>
    <row r="793" ht="14.25" customHeight="1" s="63"/>
    <row r="794" ht="14.25" customHeight="1" s="63"/>
    <row r="795" ht="14.25" customHeight="1" s="63"/>
    <row r="796" ht="14.25" customHeight="1" s="63"/>
    <row r="797" ht="14.25" customHeight="1" s="63"/>
    <row r="798" ht="14.25" customHeight="1" s="63"/>
    <row r="799" ht="14.25" customHeight="1" s="63"/>
    <row r="800" ht="14.25" customHeight="1" s="63"/>
    <row r="801" ht="14.25" customHeight="1" s="63"/>
    <row r="802" ht="14.25" customHeight="1" s="63"/>
    <row r="803" ht="14.25" customHeight="1" s="63"/>
    <row r="804" ht="14.25" customHeight="1" s="63"/>
    <row r="805" ht="14.25" customHeight="1" s="63"/>
    <row r="806" ht="14.25" customHeight="1" s="63"/>
    <row r="807" ht="14.25" customHeight="1" s="63"/>
    <row r="808" ht="14.25" customHeight="1" s="63"/>
    <row r="809" ht="14.25" customHeight="1" s="63"/>
    <row r="810" ht="14.25" customHeight="1" s="63"/>
    <row r="811" ht="14.25" customHeight="1" s="63"/>
    <row r="812" ht="14.25" customHeight="1" s="63"/>
    <row r="813" ht="14.25" customHeight="1" s="63"/>
    <row r="814" ht="14.25" customHeight="1" s="63"/>
    <row r="815" ht="14.25" customHeight="1" s="63"/>
    <row r="816" ht="14.25" customHeight="1" s="63"/>
    <row r="817" ht="14.25" customHeight="1" s="63"/>
    <row r="818" ht="14.25" customHeight="1" s="63"/>
    <row r="819" ht="14.25" customHeight="1" s="63"/>
    <row r="820" ht="14.25" customHeight="1" s="63"/>
    <row r="821" ht="14.25" customHeight="1" s="63"/>
    <row r="822" ht="14.25" customHeight="1" s="63"/>
    <row r="823" ht="14.25" customHeight="1" s="63"/>
    <row r="824" ht="14.25" customHeight="1" s="63"/>
    <row r="825" ht="14.25" customHeight="1" s="63"/>
    <row r="826" ht="14.25" customHeight="1" s="63"/>
    <row r="827" ht="14.25" customHeight="1" s="63"/>
    <row r="828" ht="14.25" customHeight="1" s="63"/>
    <row r="829" ht="14.25" customHeight="1" s="63"/>
    <row r="830" ht="14.25" customHeight="1" s="63"/>
    <row r="831" ht="14.25" customHeight="1" s="63"/>
    <row r="832" ht="14.25" customHeight="1" s="63"/>
    <row r="833" ht="14.25" customHeight="1" s="63"/>
    <row r="834" ht="14.25" customHeight="1" s="63"/>
    <row r="835" ht="14.25" customHeight="1" s="63"/>
    <row r="836" ht="14.25" customHeight="1" s="63"/>
    <row r="837" ht="14.25" customHeight="1" s="63"/>
    <row r="838" ht="14.25" customHeight="1" s="63"/>
    <row r="839" ht="14.25" customHeight="1" s="63"/>
    <row r="840" ht="14.25" customHeight="1" s="63"/>
    <row r="841" ht="14.25" customHeight="1" s="63"/>
    <row r="842" ht="14.25" customHeight="1" s="63"/>
    <row r="843" ht="14.25" customHeight="1" s="63"/>
    <row r="844" ht="14.25" customHeight="1" s="63"/>
    <row r="845" ht="14.25" customHeight="1" s="63"/>
    <row r="846" ht="14.25" customHeight="1" s="63"/>
    <row r="847" ht="14.25" customHeight="1" s="63"/>
    <row r="848" ht="14.25" customHeight="1" s="63"/>
    <row r="849" ht="14.25" customHeight="1" s="63"/>
    <row r="850" ht="14.25" customHeight="1" s="63"/>
    <row r="851" ht="14.25" customHeight="1" s="63"/>
    <row r="852" ht="14.25" customHeight="1" s="63"/>
    <row r="853" ht="14.25" customHeight="1" s="63"/>
    <row r="854" ht="14.25" customHeight="1" s="63"/>
    <row r="855" ht="14.25" customHeight="1" s="63"/>
    <row r="856" ht="14.25" customHeight="1" s="63"/>
    <row r="857" ht="14.25" customHeight="1" s="63"/>
    <row r="858" ht="14.25" customHeight="1" s="63"/>
    <row r="859" ht="14.25" customHeight="1" s="63"/>
    <row r="860" ht="14.25" customHeight="1" s="63"/>
    <row r="861" ht="14.25" customHeight="1" s="63"/>
    <row r="862" ht="14.25" customHeight="1" s="63"/>
    <row r="863" ht="14.25" customHeight="1" s="63"/>
    <row r="864" ht="14.25" customHeight="1" s="63"/>
    <row r="865" ht="14.25" customHeight="1" s="63"/>
    <row r="866" ht="14.25" customHeight="1" s="63"/>
    <row r="867" ht="14.25" customHeight="1" s="63"/>
    <row r="868" ht="14.25" customHeight="1" s="63"/>
    <row r="869" ht="14.25" customHeight="1" s="63"/>
    <row r="870" ht="14.25" customHeight="1" s="63"/>
    <row r="871" ht="14.25" customHeight="1" s="63"/>
    <row r="872" ht="14.25" customHeight="1" s="63"/>
    <row r="873" ht="14.25" customHeight="1" s="63"/>
    <row r="874" ht="14.25" customHeight="1" s="63"/>
    <row r="875" ht="14.25" customHeight="1" s="63"/>
    <row r="876" ht="14.25" customHeight="1" s="63"/>
    <row r="877" ht="14.25" customHeight="1" s="63"/>
    <row r="878" ht="14.25" customHeight="1" s="63"/>
    <row r="879" ht="14.25" customHeight="1" s="63"/>
    <row r="880" ht="14.25" customHeight="1" s="63"/>
    <row r="881" ht="14.25" customHeight="1" s="63"/>
    <row r="882" ht="14.25" customHeight="1" s="63"/>
    <row r="883" ht="14.25" customHeight="1" s="63"/>
    <row r="884" ht="14.25" customHeight="1" s="63"/>
    <row r="885" ht="14.25" customHeight="1" s="63"/>
    <row r="886" ht="14.25" customHeight="1" s="63"/>
    <row r="887" ht="14.25" customHeight="1" s="63"/>
    <row r="888" ht="14.25" customHeight="1" s="63"/>
    <row r="889" ht="14.25" customHeight="1" s="63"/>
    <row r="890" ht="14.25" customHeight="1" s="63"/>
    <row r="891" ht="14.25" customHeight="1" s="63"/>
    <row r="892" ht="14.25" customHeight="1" s="63"/>
    <row r="893" ht="14.25" customHeight="1" s="63"/>
    <row r="894" ht="14.25" customHeight="1" s="63"/>
    <row r="895" ht="14.25" customHeight="1" s="63"/>
    <row r="896" ht="14.25" customHeight="1" s="63"/>
    <row r="897" ht="14.25" customHeight="1" s="63"/>
    <row r="898" ht="14.25" customHeight="1" s="63"/>
    <row r="899" ht="14.25" customHeight="1" s="63"/>
    <row r="900" ht="14.25" customHeight="1" s="63"/>
    <row r="901" ht="14.25" customHeight="1" s="63"/>
    <row r="902" ht="14.25" customHeight="1" s="63"/>
    <row r="903" ht="14.25" customHeight="1" s="63"/>
    <row r="904" ht="14.25" customHeight="1" s="63"/>
    <row r="905" ht="14.25" customHeight="1" s="63"/>
    <row r="906" ht="14.25" customHeight="1" s="63"/>
    <row r="907" ht="14.25" customHeight="1" s="63"/>
    <row r="908" ht="14.25" customHeight="1" s="63"/>
    <row r="909" ht="14.25" customHeight="1" s="63"/>
    <row r="910" ht="14.25" customHeight="1" s="63"/>
    <row r="911" ht="14.25" customHeight="1" s="63"/>
    <row r="912" ht="14.25" customHeight="1" s="63"/>
    <row r="913" ht="14.25" customHeight="1" s="63"/>
    <row r="914" ht="14.25" customHeight="1" s="63"/>
    <row r="915" ht="14.25" customHeight="1" s="63"/>
    <row r="916" ht="14.25" customHeight="1" s="63"/>
    <row r="917" ht="14.25" customHeight="1" s="63"/>
    <row r="918" ht="14.25" customHeight="1" s="63"/>
    <row r="919" ht="14.25" customHeight="1" s="63"/>
    <row r="920" ht="14.25" customHeight="1" s="63"/>
    <row r="921" ht="14.25" customHeight="1" s="63"/>
    <row r="922" ht="14.25" customHeight="1" s="63"/>
    <row r="923" ht="14.25" customHeight="1" s="63"/>
    <row r="924" ht="14.25" customHeight="1" s="63"/>
    <row r="925" ht="14.25" customHeight="1" s="63"/>
    <row r="926" ht="14.25" customHeight="1" s="63"/>
    <row r="927" ht="14.25" customHeight="1" s="63"/>
    <row r="928" ht="14.25" customHeight="1" s="63"/>
    <row r="929" ht="14.25" customHeight="1" s="63"/>
    <row r="930" ht="14.25" customHeight="1" s="63"/>
    <row r="931" ht="14.25" customHeight="1" s="63"/>
    <row r="932" ht="14.25" customHeight="1" s="63"/>
    <row r="933" ht="14.25" customHeight="1" s="63"/>
    <row r="934" ht="14.25" customHeight="1" s="63"/>
    <row r="935" ht="14.25" customHeight="1" s="63"/>
    <row r="936" ht="14.25" customHeight="1" s="63"/>
    <row r="937" ht="14.25" customHeight="1" s="63"/>
    <row r="938" ht="14.25" customHeight="1" s="63"/>
    <row r="939" ht="14.25" customHeight="1" s="63"/>
    <row r="940" ht="14.25" customHeight="1" s="63"/>
    <row r="941" ht="14.25" customHeight="1" s="63"/>
    <row r="942" ht="14.25" customHeight="1" s="63"/>
    <row r="943" ht="14.25" customHeight="1" s="63"/>
    <row r="944" ht="14.25" customHeight="1" s="63"/>
    <row r="945" ht="14.25" customHeight="1" s="63"/>
    <row r="946" ht="14.25" customHeight="1" s="63"/>
    <row r="947" ht="14.25" customHeight="1" s="63"/>
    <row r="948" ht="14.25" customHeight="1" s="63"/>
    <row r="949" ht="14.25" customHeight="1" s="63"/>
    <row r="950" ht="14.25" customHeight="1" s="63"/>
    <row r="951" ht="14.25" customHeight="1" s="63"/>
    <row r="952" ht="14.25" customHeight="1" s="63"/>
    <row r="953" ht="14.25" customHeight="1" s="63"/>
    <row r="954" ht="14.25" customHeight="1" s="63"/>
    <row r="955" ht="14.25" customHeight="1" s="63"/>
    <row r="956" ht="14.25" customHeight="1" s="63"/>
    <row r="957" ht="14.25" customHeight="1" s="63"/>
    <row r="958" ht="14.25" customHeight="1" s="63"/>
    <row r="959" ht="14.25" customHeight="1" s="63"/>
    <row r="960" ht="14.25" customHeight="1" s="63"/>
    <row r="961" ht="14.25" customHeight="1" s="63"/>
    <row r="962" ht="14.25" customHeight="1" s="63"/>
    <row r="963" ht="14.25" customHeight="1" s="63"/>
    <row r="964" ht="14.25" customHeight="1" s="63"/>
    <row r="965" ht="14.25" customHeight="1" s="63"/>
    <row r="966" ht="14.25" customHeight="1" s="63"/>
    <row r="967" ht="14.25" customHeight="1" s="63"/>
    <row r="968" ht="14.25" customHeight="1" s="63"/>
    <row r="969" ht="14.25" customHeight="1" s="63"/>
    <row r="970" ht="14.25" customHeight="1" s="63"/>
    <row r="971" ht="14.25" customHeight="1" s="63"/>
    <row r="972" ht="14.25" customHeight="1" s="63"/>
    <row r="973" ht="14.25" customHeight="1" s="63"/>
    <row r="974" ht="14.25" customHeight="1" s="63"/>
    <row r="975" ht="14.25" customHeight="1" s="63"/>
    <row r="976" ht="14.25" customHeight="1" s="63"/>
    <row r="977" ht="14.25" customHeight="1" s="63"/>
    <row r="978" ht="14.25" customHeight="1" s="63"/>
    <row r="979" ht="14.25" customHeight="1" s="63"/>
    <row r="980" ht="14.25" customHeight="1" s="63"/>
    <row r="981" ht="14.25" customHeight="1" s="63"/>
    <row r="982" ht="14.25" customHeight="1" s="63"/>
    <row r="983" ht="14.25" customHeight="1" s="63"/>
    <row r="984" ht="14.25" customHeight="1" s="63"/>
    <row r="985" ht="14.25" customHeight="1" s="63"/>
    <row r="986" ht="14.25" customHeight="1" s="63"/>
    <row r="987" ht="14.25" customHeight="1" s="63"/>
    <row r="988" ht="14.25" customHeight="1" s="63"/>
    <row r="989" ht="14.25" customHeight="1" s="63"/>
    <row r="990" ht="14.25" customHeight="1" s="63"/>
    <row r="991" ht="14.25" customHeight="1" s="63"/>
    <row r="992" ht="14.25" customHeight="1" s="63"/>
    <row r="993" ht="14.25" customHeight="1" s="63"/>
    <row r="994" ht="14.25" customHeight="1" s="63"/>
    <row r="995" ht="14.25" customHeight="1" s="63"/>
    <row r="996" ht="14.25" customHeight="1" s="63"/>
    <row r="997" ht="14.25" customHeight="1" s="63"/>
    <row r="998" ht="14.25" customHeight="1" s="63"/>
    <row r="999" ht="14.25" customHeight="1" s="63"/>
    <row r="1000" ht="14.25" customHeight="1" s="63"/>
  </sheetData>
  <mergeCells count="17">
    <mergeCell ref="C53:I53"/>
    <mergeCell ref="D6:E6"/>
    <mergeCell ref="B6:C6"/>
    <mergeCell ref="B9:I9"/>
    <mergeCell ref="C52:I52"/>
    <mergeCell ref="D7:E7"/>
    <mergeCell ref="H6:I6"/>
    <mergeCell ref="B7:C7"/>
    <mergeCell ref="H7:I7"/>
    <mergeCell ref="B51:I51"/>
    <mergeCell ref="B3:I3"/>
    <mergeCell ref="B25:E25"/>
    <mergeCell ref="F6:G6"/>
    <mergeCell ref="C54:I54"/>
    <mergeCell ref="F25:I25"/>
    <mergeCell ref="B4:I4"/>
    <mergeCell ref="F7:G7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63" min="1" max="1"/>
    <col width="24" customWidth="1" style="63" min="2" max="3"/>
    <col width="38" customWidth="1" style="63" min="4" max="4"/>
    <col width="16" customWidth="1" style="63" min="5" max="5"/>
    <col width="12" customWidth="1" style="63" min="6" max="6"/>
    <col width="14" customWidth="1" style="63" min="7" max="7"/>
    <col width="28" customWidth="1" style="63" min="8" max="8"/>
    <col width="8.710000000000001" customWidth="1" style="63" min="9" max="26"/>
  </cols>
  <sheetData>
    <row r="1" ht="25.5" customHeight="1" s="63">
      <c r="A1" s="10" t="inlineStr">
        <is>
          <t>Date</t>
        </is>
      </c>
      <c r="B1" s="10" t="inlineStr">
        <is>
          <t>Client</t>
        </is>
      </c>
      <c r="C1" s="10" t="inlineStr">
        <is>
          <t>Catégorie</t>
        </is>
      </c>
      <c r="D1" s="10" t="inlineStr">
        <is>
          <t>Description</t>
        </is>
      </c>
      <c r="E1" s="10" t="inlineStr">
        <is>
          <t>Montant HT (€)</t>
        </is>
      </c>
      <c r="F1" s="10" t="inlineStr">
        <is>
          <t>Récurrent</t>
        </is>
      </c>
      <c r="G1" s="10" t="inlineStr">
        <is>
          <t>Mois</t>
        </is>
      </c>
      <c r="H1" s="10" t="inlineStr">
        <is>
          <t>Notes</t>
        </is>
      </c>
    </row>
    <row r="2" ht="14.25" customHeight="1" s="63">
      <c r="A2" s="47" t="n">
        <v>46104</v>
      </c>
      <c r="B2" s="42" t="inlineStr">
        <is>
          <t>Hassan</t>
        </is>
      </c>
      <c r="C2" s="42" t="inlineStr">
        <is>
          <t>Abonnement Unimatos</t>
        </is>
      </c>
      <c r="D2" s="42" t="inlineStr">
        <is>
          <t>Abonnement 6 mois Unimatos</t>
        </is>
      </c>
      <c r="E2" s="40" t="n">
        <v>450</v>
      </c>
      <c r="F2" s="42" t="inlineStr">
        <is>
          <t>Non</t>
        </is>
      </c>
      <c r="G2" s="41">
        <f>IF(A2="","",DATE(YEAR(A2),MONTH(A2),1))</f>
        <v/>
      </c>
      <c r="H2" s="42" t="n"/>
    </row>
    <row r="3" ht="14.25" customHeight="1" s="63">
      <c r="A3" s="47" t="n">
        <v>46130</v>
      </c>
      <c r="B3" s="42" t="inlineStr">
        <is>
          <t>Jennifer DA COSTA</t>
        </is>
      </c>
      <c r="C3" s="42" t="inlineStr">
        <is>
          <t>Setup / One-shot</t>
        </is>
      </c>
      <c r="D3" s="42" t="inlineStr">
        <is>
          <t>ADV / mensuel</t>
        </is>
      </c>
      <c r="E3" s="40" t="n">
        <v>600</v>
      </c>
      <c r="F3" s="42" t="inlineStr">
        <is>
          <t>Oui</t>
        </is>
      </c>
      <c r="G3" s="41" t="n">
        <v>46113</v>
      </c>
      <c r="H3" s="42" t="n"/>
    </row>
    <row r="4" ht="14.25" customHeight="1" s="63">
      <c r="A4" s="47" t="n">
        <v>46134</v>
      </c>
      <c r="B4" s="42" t="inlineStr">
        <is>
          <t>Louis</t>
        </is>
      </c>
      <c r="C4" s="42" t="inlineStr">
        <is>
          <t>Setup / One-shot</t>
        </is>
      </c>
      <c r="D4" s="42" t="inlineStr">
        <is>
          <t xml:space="preserve">TP / Mensuel </t>
        </is>
      </c>
      <c r="E4" s="40" t="n">
        <v>1500</v>
      </c>
      <c r="F4" s="42" t="inlineStr">
        <is>
          <t>Oui</t>
        </is>
      </c>
      <c r="G4" s="41" t="n">
        <v>46113</v>
      </c>
      <c r="H4" s="42" t="n"/>
    </row>
    <row r="5" ht="14.25" customHeight="1" s="63">
      <c r="A5" s="48" t="n">
        <v>46136</v>
      </c>
      <c r="B5" s="42" t="inlineStr">
        <is>
          <t>PATTOM</t>
        </is>
      </c>
      <c r="C5" s="46" t="inlineStr">
        <is>
          <t>Agent IA custom</t>
        </is>
      </c>
      <c r="D5" s="46" t="inlineStr">
        <is>
          <t>Auto Linkedin, 2 TP, scalead</t>
        </is>
      </c>
      <c r="E5" s="49" t="n">
        <v>2400</v>
      </c>
      <c r="F5" s="46" t="inlineStr">
        <is>
          <t>Oui</t>
        </is>
      </c>
      <c r="G5" s="41">
        <f>IF(A5="","",DATE(YEAR(A5),MONTH(A5),1))</f>
        <v/>
      </c>
      <c r="H5" s="46" t="n"/>
    </row>
    <row r="6" ht="14.25" customHeight="1" s="63">
      <c r="A6" s="48" t="n">
        <v>46151</v>
      </c>
      <c r="B6" s="46" t="inlineStr">
        <is>
          <t>Nicolas</t>
        </is>
      </c>
      <c r="C6" s="46" t="inlineStr">
        <is>
          <t>Setup / One-shot</t>
        </is>
      </c>
      <c r="D6" s="46" t="inlineStr">
        <is>
          <t xml:space="preserve">TP / Mensuel </t>
        </is>
      </c>
      <c r="E6" s="49" t="n">
        <v>750</v>
      </c>
      <c r="F6" s="46" t="inlineStr">
        <is>
          <t>Non</t>
        </is>
      </c>
      <c r="G6" s="41">
        <f>IF(A6="","",DATE(YEAR(A6),MONTH(A6),1))</f>
        <v/>
      </c>
      <c r="H6" s="46" t="n"/>
    </row>
    <row r="7" ht="14.25" customHeight="1" s="63">
      <c r="A7" s="48" t="n">
        <v>46153</v>
      </c>
      <c r="B7" s="46" t="inlineStr">
        <is>
          <t>SPOM</t>
        </is>
      </c>
      <c r="C7" s="46" t="inlineStr">
        <is>
          <t>Setup / One-shot</t>
        </is>
      </c>
      <c r="D7" s="46" t="inlineStr">
        <is>
          <t xml:space="preserve">TP / Mensuel </t>
        </is>
      </c>
      <c r="E7" s="49" t="n">
        <v>750</v>
      </c>
      <c r="F7" s="46" t="inlineStr">
        <is>
          <t>Non</t>
        </is>
      </c>
      <c r="G7" s="41">
        <f>IF(A7="","",DATE(YEAR(A7),MONTH(A7),1))</f>
        <v/>
      </c>
      <c r="H7" s="46" t="n"/>
    </row>
    <row r="8" ht="14.25" customHeight="1" s="63">
      <c r="A8" s="47" t="n">
        <v>46179</v>
      </c>
      <c r="B8" s="42" t="inlineStr">
        <is>
          <t>Jennifer DA COSTA</t>
        </is>
      </c>
      <c r="C8" s="42" t="inlineStr">
        <is>
          <t>Setup / One-shot</t>
        </is>
      </c>
      <c r="D8" s="42" t="inlineStr">
        <is>
          <t>ADV / mensuel</t>
        </is>
      </c>
      <c r="E8" s="40" t="n">
        <v>600</v>
      </c>
      <c r="F8" s="42" t="inlineStr">
        <is>
          <t>Oui</t>
        </is>
      </c>
      <c r="G8" s="41">
        <f>IF(A8="","",DATE(YEAR(A8),MONTH(A8),1))</f>
        <v/>
      </c>
      <c r="H8" s="46" t="n"/>
    </row>
    <row r="9" ht="14.25" customHeight="1" s="63">
      <c r="A9" s="48" t="n">
        <v>46232</v>
      </c>
      <c r="B9" s="46" t="inlineStr">
        <is>
          <t>Jennifer DA COSTA</t>
        </is>
      </c>
      <c r="C9" s="46" t="inlineStr">
        <is>
          <t>Setup / One-shot</t>
        </is>
      </c>
      <c r="D9" s="46" t="inlineStr">
        <is>
          <t>ADV / mensuel</t>
        </is>
      </c>
      <c r="E9" s="49" t="n">
        <v>600</v>
      </c>
      <c r="F9" s="46" t="inlineStr">
        <is>
          <t>Oui</t>
        </is>
      </c>
      <c r="G9" s="41">
        <f>IF(A9="","",DATE(YEAR(A9),MONTH(A9),1))</f>
        <v/>
      </c>
      <c r="H9" s="46" t="inlineStr">
        <is>
          <t>Facture 2026-002 (Jonction)</t>
        </is>
      </c>
    </row>
    <row r="10" ht="14.25" customHeight="1" s="63">
      <c r="A10" s="48" t="n">
        <v>46203</v>
      </c>
      <c r="B10" s="46" t="inlineStr">
        <is>
          <t>PATTOM</t>
        </is>
      </c>
      <c r="C10" s="46" t="inlineStr">
        <is>
          <t>Téléprospection</t>
        </is>
      </c>
      <c r="D10" s="46" t="inlineStr">
        <is>
          <t>2 TP (Jimmy &amp; Safidy)</t>
        </is>
      </c>
      <c r="E10" s="49" t="n">
        <v>1400</v>
      </c>
      <c r="F10" s="46" t="inlineStr">
        <is>
          <t>Oui</t>
        </is>
      </c>
      <c r="G10" s="41">
        <f>IF(A10="","",DATE(YEAR(A10),MONTH(A10),1))</f>
        <v/>
      </c>
      <c r="H10" s="46" t="inlineStr">
        <is>
          <t>Facture 2026-003 (Jonction)</t>
        </is>
      </c>
    </row>
    <row r="11" ht="14.25" customHeight="1" s="63">
      <c r="A11" s="48" t="n"/>
      <c r="B11" s="46" t="n"/>
      <c r="C11" s="46" t="n"/>
      <c r="D11" s="46" t="n"/>
      <c r="E11" s="49" t="n"/>
      <c r="F11" s="46" t="n"/>
      <c r="G11" s="41">
        <f>IF(A11="","",DATE(YEAR(A11),MONTH(A11),1))</f>
        <v/>
      </c>
      <c r="H11" s="46" t="n"/>
    </row>
    <row r="12" ht="14.25" customHeight="1" s="63">
      <c r="A12" s="48" t="n"/>
      <c r="B12" s="46" t="n"/>
      <c r="C12" s="46" t="n"/>
      <c r="D12" s="46" t="n"/>
      <c r="E12" s="49" t="n"/>
      <c r="F12" s="46" t="n"/>
      <c r="G12" s="41">
        <f>IF(A12="","",DATE(YEAR(A12),MONTH(A12),1))</f>
        <v/>
      </c>
      <c r="H12" s="46" t="n"/>
    </row>
    <row r="13" ht="14.25" customHeight="1" s="63">
      <c r="A13" s="48" t="n"/>
      <c r="B13" s="46" t="n"/>
      <c r="C13" s="46" t="n"/>
      <c r="D13" s="46" t="n"/>
      <c r="E13" s="49" t="n"/>
      <c r="F13" s="46" t="n"/>
      <c r="G13" s="41">
        <f>IF(A13="","",DATE(YEAR(A13),MONTH(A13),1))</f>
        <v/>
      </c>
      <c r="H13" s="46" t="n"/>
    </row>
    <row r="14" ht="14.25" customHeight="1" s="63">
      <c r="A14" s="48" t="n"/>
      <c r="B14" s="46" t="n"/>
      <c r="C14" s="46" t="n"/>
      <c r="D14" s="46" t="n"/>
      <c r="E14" s="49" t="n"/>
      <c r="F14" s="46" t="n"/>
      <c r="G14" s="41">
        <f>IF(A14="","",DATE(YEAR(A14),MONTH(A14),1))</f>
        <v/>
      </c>
      <c r="H14" s="46" t="n"/>
    </row>
    <row r="15" ht="14.25" customHeight="1" s="63">
      <c r="A15" s="48" t="n"/>
      <c r="B15" s="46" t="n"/>
      <c r="C15" s="46" t="n"/>
      <c r="D15" s="46" t="n"/>
      <c r="E15" s="49" t="n"/>
      <c r="F15" s="46" t="n"/>
      <c r="G15" s="41">
        <f>IF(A15="","",DATE(YEAR(A15),MONTH(A15),1))</f>
        <v/>
      </c>
      <c r="H15" s="46" t="n"/>
    </row>
    <row r="16" ht="14.25" customHeight="1" s="63">
      <c r="A16" s="48" t="n"/>
      <c r="B16" s="46" t="n"/>
      <c r="C16" s="46" t="n"/>
      <c r="D16" s="46" t="n"/>
      <c r="E16" s="49" t="n"/>
      <c r="F16" s="46" t="n"/>
      <c r="G16" s="41">
        <f>IF(A16="","",DATE(YEAR(A16),MONTH(A16),1))</f>
        <v/>
      </c>
      <c r="H16" s="46" t="n"/>
    </row>
    <row r="17" ht="14.25" customHeight="1" s="63">
      <c r="A17" s="48" t="n"/>
      <c r="B17" s="46" t="n"/>
      <c r="C17" s="46" t="n"/>
      <c r="D17" s="46" t="n"/>
      <c r="E17" s="49" t="n"/>
      <c r="F17" s="46" t="n"/>
      <c r="G17" s="41">
        <f>IF(A17="","",DATE(YEAR(A17),MONTH(A17),1))</f>
        <v/>
      </c>
      <c r="H17" s="46" t="n"/>
    </row>
    <row r="18" ht="14.25" customHeight="1" s="63">
      <c r="A18" s="48" t="n"/>
      <c r="B18" s="46" t="n"/>
      <c r="C18" s="46" t="n"/>
      <c r="D18" s="46" t="n"/>
      <c r="E18" s="49" t="n"/>
      <c r="F18" s="46" t="n"/>
      <c r="G18" s="41">
        <f>IF(A18="","",DATE(YEAR(A18),MONTH(A18),1))</f>
        <v/>
      </c>
      <c r="H18" s="46" t="n"/>
    </row>
    <row r="19" ht="14.25" customHeight="1" s="63">
      <c r="A19" s="48" t="n"/>
      <c r="B19" s="46" t="n"/>
      <c r="C19" s="46" t="n"/>
      <c r="D19" s="46" t="n"/>
      <c r="E19" s="49" t="n"/>
      <c r="F19" s="46" t="n"/>
      <c r="G19" s="41">
        <f>IF(A19="","",DATE(YEAR(A19),MONTH(A19),1))</f>
        <v/>
      </c>
      <c r="H19" s="46" t="n"/>
    </row>
    <row r="20" ht="14.25" customHeight="1" s="63">
      <c r="A20" s="48" t="n"/>
      <c r="B20" s="46" t="n"/>
      <c r="C20" s="46" t="n"/>
      <c r="D20" s="46" t="n"/>
      <c r="E20" s="49" t="n"/>
      <c r="F20" s="46" t="n"/>
      <c r="G20" s="41">
        <f>IF(A20="","",DATE(YEAR(A20),MONTH(A20),1))</f>
        <v/>
      </c>
      <c r="H20" s="46" t="n"/>
    </row>
    <row r="21" ht="14.25" customHeight="1" s="63">
      <c r="A21" s="48" t="n"/>
      <c r="B21" s="46" t="n"/>
      <c r="C21" s="46" t="n"/>
      <c r="D21" s="46" t="n"/>
      <c r="E21" s="49" t="n"/>
      <c r="F21" s="46" t="n"/>
      <c r="G21" s="41">
        <f>IF(A21="","",DATE(YEAR(A21),MONTH(A21),1))</f>
        <v/>
      </c>
      <c r="H21" s="46" t="n"/>
    </row>
    <row r="22" ht="14.25" customHeight="1" s="63">
      <c r="A22" s="48" t="n"/>
      <c r="B22" s="46" t="n"/>
      <c r="C22" s="46" t="n"/>
      <c r="D22" s="46" t="n"/>
      <c r="E22" s="49" t="n"/>
      <c r="F22" s="46" t="n"/>
      <c r="G22" s="41">
        <f>IF(A22="","",DATE(YEAR(A22),MONTH(A22),1))</f>
        <v/>
      </c>
      <c r="H22" s="46" t="n"/>
    </row>
    <row r="23" ht="14.25" customHeight="1" s="63">
      <c r="A23" s="48" t="n"/>
      <c r="B23" s="46" t="n"/>
      <c r="C23" s="46" t="n"/>
      <c r="D23" s="46" t="n"/>
      <c r="E23" s="49" t="n"/>
      <c r="F23" s="46" t="n"/>
      <c r="G23" s="41">
        <f>IF(A23="","",DATE(YEAR(A23),MONTH(A23),1))</f>
        <v/>
      </c>
      <c r="H23" s="46" t="n"/>
    </row>
    <row r="24" ht="14.25" customHeight="1" s="63">
      <c r="A24" s="48" t="n"/>
      <c r="B24" s="46" t="n"/>
      <c r="C24" s="46" t="n"/>
      <c r="D24" s="46" t="n"/>
      <c r="E24" s="49" t="n"/>
      <c r="F24" s="46" t="n"/>
      <c r="G24" s="41">
        <f>IF(A24="","",DATE(YEAR(A24),MONTH(A24),1))</f>
        <v/>
      </c>
      <c r="H24" s="46" t="n"/>
    </row>
    <row r="25" ht="14.25" customHeight="1" s="63">
      <c r="A25" s="48" t="n"/>
      <c r="B25" s="46" t="n"/>
      <c r="C25" s="46" t="n"/>
      <c r="D25" s="46" t="n"/>
      <c r="E25" s="49" t="n"/>
      <c r="F25" s="46" t="n"/>
      <c r="G25" s="41">
        <f>IF(A25="","",DATE(YEAR(A25),MONTH(A25),1))</f>
        <v/>
      </c>
      <c r="H25" s="46" t="n"/>
    </row>
    <row r="26" ht="14.25" customHeight="1" s="63">
      <c r="A26" s="48" t="n"/>
      <c r="B26" s="46" t="n"/>
      <c r="C26" s="46" t="n"/>
      <c r="D26" s="46" t="n"/>
      <c r="E26" s="49" t="n"/>
      <c r="F26" s="46" t="n"/>
      <c r="G26" s="41">
        <f>IF(A26="","",DATE(YEAR(A26),MONTH(A26),1))</f>
        <v/>
      </c>
      <c r="H26" s="46" t="n"/>
    </row>
    <row r="27" ht="14.25" customHeight="1" s="63">
      <c r="A27" s="48" t="n"/>
      <c r="B27" s="46" t="n"/>
      <c r="C27" s="46" t="n"/>
      <c r="D27" s="46" t="n"/>
      <c r="E27" s="49" t="n"/>
      <c r="F27" s="46" t="n"/>
      <c r="G27" s="41">
        <f>IF(A27="","",DATE(YEAR(A27),MONTH(A27),1))</f>
        <v/>
      </c>
      <c r="H27" s="46" t="n"/>
    </row>
    <row r="28" ht="14.25" customHeight="1" s="63">
      <c r="A28" s="48" t="n"/>
      <c r="B28" s="46" t="n"/>
      <c r="C28" s="46" t="n"/>
      <c r="D28" s="46" t="n"/>
      <c r="E28" s="49" t="n"/>
      <c r="F28" s="46" t="n"/>
      <c r="G28" s="41">
        <f>IF(A28="","",DATE(YEAR(A28),MONTH(A28),1))</f>
        <v/>
      </c>
      <c r="H28" s="46" t="n"/>
    </row>
    <row r="29" ht="14.25" customHeight="1" s="63">
      <c r="A29" s="48" t="n"/>
      <c r="B29" s="46" t="n"/>
      <c r="C29" s="46" t="n"/>
      <c r="D29" s="46" t="n"/>
      <c r="E29" s="49" t="n"/>
      <c r="F29" s="46" t="n"/>
      <c r="G29" s="41">
        <f>IF(A29="","",DATE(YEAR(A29),MONTH(A29),1))</f>
        <v/>
      </c>
      <c r="H29" s="46" t="n"/>
    </row>
    <row r="30" ht="14.25" customHeight="1" s="63">
      <c r="A30" s="48" t="n"/>
      <c r="B30" s="46" t="n"/>
      <c r="C30" s="46" t="n"/>
      <c r="D30" s="46" t="n"/>
      <c r="E30" s="49" t="n"/>
      <c r="F30" s="46" t="n"/>
      <c r="G30" s="41">
        <f>IF(A30="","",DATE(YEAR(A30),MONTH(A30),1))</f>
        <v/>
      </c>
      <c r="H30" s="46" t="n"/>
    </row>
    <row r="31" ht="14.25" customHeight="1" s="63">
      <c r="A31" s="48" t="n"/>
      <c r="B31" s="46" t="n"/>
      <c r="C31" s="46" t="n"/>
      <c r="D31" s="46" t="n"/>
      <c r="E31" s="49" t="n"/>
      <c r="F31" s="46" t="n"/>
      <c r="G31" s="41">
        <f>IF(A31="","",DATE(YEAR(A31),MONTH(A31),1))</f>
        <v/>
      </c>
      <c r="H31" s="46" t="n"/>
    </row>
    <row r="32" ht="14.25" customHeight="1" s="63">
      <c r="A32" s="48" t="n"/>
      <c r="B32" s="46" t="n"/>
      <c r="C32" s="46" t="n"/>
      <c r="D32" s="46" t="n"/>
      <c r="E32" s="49" t="n"/>
      <c r="F32" s="46" t="n"/>
      <c r="G32" s="41">
        <f>IF(A32="","",DATE(YEAR(A32),MONTH(A32),1))</f>
        <v/>
      </c>
      <c r="H32" s="46" t="n"/>
    </row>
    <row r="33" ht="14.25" customHeight="1" s="63">
      <c r="A33" s="48" t="n"/>
      <c r="B33" s="46" t="n"/>
      <c r="C33" s="46" t="n"/>
      <c r="D33" s="46" t="n"/>
      <c r="E33" s="49" t="n"/>
      <c r="F33" s="46" t="n"/>
      <c r="G33" s="41">
        <f>IF(A33="","",DATE(YEAR(A33),MONTH(A33),1))</f>
        <v/>
      </c>
      <c r="H33" s="46" t="n"/>
    </row>
    <row r="34" ht="14.25" customHeight="1" s="63">
      <c r="A34" s="48" t="n"/>
      <c r="B34" s="46" t="n"/>
      <c r="C34" s="46" t="n"/>
      <c r="D34" s="46" t="n"/>
      <c r="E34" s="49" t="n"/>
      <c r="F34" s="46" t="n"/>
      <c r="G34" s="41">
        <f>IF(A34="","",DATE(YEAR(A34),MONTH(A34),1))</f>
        <v/>
      </c>
      <c r="H34" s="46" t="n"/>
    </row>
    <row r="35" ht="14.25" customHeight="1" s="63">
      <c r="A35" s="48" t="n"/>
      <c r="B35" s="46" t="n"/>
      <c r="C35" s="46" t="n"/>
      <c r="D35" s="46" t="n"/>
      <c r="E35" s="49" t="n"/>
      <c r="F35" s="46" t="n"/>
      <c r="G35" s="41">
        <f>IF(A35="","",DATE(YEAR(A35),MONTH(A35),1))</f>
        <v/>
      </c>
      <c r="H35" s="46" t="n"/>
    </row>
    <row r="36" ht="14.25" customHeight="1" s="63">
      <c r="A36" s="48" t="n"/>
      <c r="B36" s="46" t="n"/>
      <c r="C36" s="46" t="n"/>
      <c r="D36" s="46" t="n"/>
      <c r="E36" s="49" t="n"/>
      <c r="F36" s="46" t="n"/>
      <c r="G36" s="41">
        <f>IF(A36="","",DATE(YEAR(A36),MONTH(A36),1))</f>
        <v/>
      </c>
      <c r="H36" s="46" t="n"/>
    </row>
    <row r="37" ht="14.25" customHeight="1" s="63">
      <c r="A37" s="48" t="n"/>
      <c r="B37" s="46" t="n"/>
      <c r="C37" s="46" t="n"/>
      <c r="D37" s="46" t="n"/>
      <c r="E37" s="49" t="n"/>
      <c r="F37" s="46" t="n"/>
      <c r="G37" s="41">
        <f>IF(A37="","",DATE(YEAR(A37),MONTH(A37),1))</f>
        <v/>
      </c>
      <c r="H37" s="46" t="n"/>
    </row>
    <row r="38" ht="14.25" customHeight="1" s="63">
      <c r="A38" s="48" t="n"/>
      <c r="B38" s="46" t="n"/>
      <c r="C38" s="46" t="n"/>
      <c r="D38" s="46" t="n"/>
      <c r="E38" s="49" t="n"/>
      <c r="F38" s="46" t="n"/>
      <c r="G38" s="41">
        <f>IF(A38="","",DATE(YEAR(A38),MONTH(A38),1))</f>
        <v/>
      </c>
      <c r="H38" s="46" t="n"/>
    </row>
    <row r="39" ht="14.25" customHeight="1" s="63">
      <c r="A39" s="48" t="n"/>
      <c r="B39" s="46" t="n"/>
      <c r="C39" s="46" t="n"/>
      <c r="D39" s="46" t="n"/>
      <c r="E39" s="49" t="n"/>
      <c r="F39" s="46" t="n"/>
      <c r="G39" s="41">
        <f>IF(A39="","",DATE(YEAR(A39),MONTH(A39),1))</f>
        <v/>
      </c>
      <c r="H39" s="46" t="n"/>
    </row>
    <row r="40" ht="14.25" customHeight="1" s="63">
      <c r="A40" s="48" t="n"/>
      <c r="B40" s="46" t="n"/>
      <c r="C40" s="46" t="n"/>
      <c r="D40" s="46" t="n"/>
      <c r="E40" s="49" t="n"/>
      <c r="F40" s="46" t="n"/>
      <c r="G40" s="41">
        <f>IF(A40="","",DATE(YEAR(A40),MONTH(A40),1))</f>
        <v/>
      </c>
      <c r="H40" s="46" t="n"/>
    </row>
    <row r="41" ht="14.25" customHeight="1" s="63">
      <c r="A41" s="48" t="n"/>
      <c r="B41" s="46" t="n"/>
      <c r="C41" s="46" t="n"/>
      <c r="D41" s="46" t="n"/>
      <c r="E41" s="49" t="n"/>
      <c r="F41" s="46" t="n"/>
      <c r="G41" s="41">
        <f>IF(A41="","",DATE(YEAR(A41),MONTH(A41),1))</f>
        <v/>
      </c>
      <c r="H41" s="46" t="n"/>
    </row>
    <row r="42" ht="14.25" customHeight="1" s="63">
      <c r="A42" s="48" t="n"/>
      <c r="B42" s="46" t="n"/>
      <c r="C42" s="46" t="n"/>
      <c r="D42" s="46" t="n"/>
      <c r="E42" s="49" t="n"/>
      <c r="F42" s="46" t="n"/>
      <c r="G42" s="41">
        <f>IF(A42="","",DATE(YEAR(A42),MONTH(A42),1))</f>
        <v/>
      </c>
      <c r="H42" s="46" t="n"/>
    </row>
    <row r="43" ht="14.25" customHeight="1" s="63">
      <c r="A43" s="48" t="n"/>
      <c r="B43" s="46" t="n"/>
      <c r="C43" s="46" t="n"/>
      <c r="D43" s="46" t="n"/>
      <c r="E43" s="49" t="n"/>
      <c r="F43" s="46" t="n"/>
      <c r="G43" s="41">
        <f>IF(A43="","",DATE(YEAR(A43),MONTH(A43),1))</f>
        <v/>
      </c>
      <c r="H43" s="46" t="n"/>
    </row>
    <row r="44" ht="14.25" customHeight="1" s="63">
      <c r="A44" s="48" t="n"/>
      <c r="B44" s="46" t="n"/>
      <c r="C44" s="46" t="n"/>
      <c r="D44" s="46" t="n"/>
      <c r="E44" s="49" t="n"/>
      <c r="F44" s="46" t="n"/>
      <c r="G44" s="41">
        <f>IF(A44="","",DATE(YEAR(A44),MONTH(A44),1))</f>
        <v/>
      </c>
      <c r="H44" s="46" t="n"/>
    </row>
    <row r="45" ht="14.25" customHeight="1" s="63">
      <c r="A45" s="48" t="n"/>
      <c r="B45" s="46" t="n"/>
      <c r="C45" s="46" t="n"/>
      <c r="D45" s="46" t="n"/>
      <c r="E45" s="49" t="n"/>
      <c r="F45" s="46" t="n"/>
      <c r="G45" s="41">
        <f>IF(A45="","",DATE(YEAR(A45),MONTH(A45),1))</f>
        <v/>
      </c>
      <c r="H45" s="46" t="n"/>
    </row>
    <row r="46" ht="14.25" customHeight="1" s="63">
      <c r="A46" s="48" t="n"/>
      <c r="B46" s="46" t="n"/>
      <c r="C46" s="46" t="n"/>
      <c r="D46" s="46" t="n"/>
      <c r="E46" s="49" t="n"/>
      <c r="F46" s="46" t="n"/>
      <c r="G46" s="41">
        <f>IF(A46="","",DATE(YEAR(A46),MONTH(A46),1))</f>
        <v/>
      </c>
      <c r="H46" s="46" t="n"/>
    </row>
    <row r="47" ht="14.25" customHeight="1" s="63">
      <c r="A47" s="48" t="n"/>
      <c r="B47" s="46" t="n"/>
      <c r="C47" s="46" t="n"/>
      <c r="D47" s="46" t="n"/>
      <c r="E47" s="49" t="n"/>
      <c r="F47" s="46" t="n"/>
      <c r="G47" s="41">
        <f>IF(A47="","",DATE(YEAR(A47),MONTH(A47),1))</f>
        <v/>
      </c>
      <c r="H47" s="46" t="n"/>
    </row>
    <row r="48" ht="14.25" customHeight="1" s="63">
      <c r="A48" s="48" t="n"/>
      <c r="B48" s="46" t="n"/>
      <c r="C48" s="46" t="n"/>
      <c r="D48" s="46" t="n"/>
      <c r="E48" s="49" t="n"/>
      <c r="F48" s="46" t="n"/>
      <c r="G48" s="41">
        <f>IF(A48="","",DATE(YEAR(A48),MONTH(A48),1))</f>
        <v/>
      </c>
      <c r="H48" s="46" t="n"/>
    </row>
    <row r="49" ht="14.25" customHeight="1" s="63">
      <c r="A49" s="48" t="n"/>
      <c r="B49" s="46" t="n"/>
      <c r="C49" s="46" t="n"/>
      <c r="D49" s="46" t="n"/>
      <c r="E49" s="49" t="n"/>
      <c r="F49" s="46" t="n"/>
      <c r="G49" s="41">
        <f>IF(A49="","",DATE(YEAR(A49),MONTH(A49),1))</f>
        <v/>
      </c>
      <c r="H49" s="46" t="n"/>
    </row>
    <row r="50" ht="14.25" customHeight="1" s="63">
      <c r="A50" s="48" t="n"/>
      <c r="B50" s="46" t="n"/>
      <c r="C50" s="46" t="n"/>
      <c r="D50" s="46" t="n"/>
      <c r="E50" s="49" t="n"/>
      <c r="F50" s="46" t="n"/>
      <c r="G50" s="41">
        <f>IF(A50="","",DATE(YEAR(A50),MONTH(A50),1))</f>
        <v/>
      </c>
      <c r="H50" s="46" t="n"/>
    </row>
    <row r="51" ht="14.25" customHeight="1" s="63">
      <c r="A51" s="48" t="n"/>
      <c r="B51" s="46" t="n"/>
      <c r="C51" s="46" t="n"/>
      <c r="D51" s="46" t="n"/>
      <c r="E51" s="49" t="n"/>
      <c r="F51" s="46" t="n"/>
      <c r="G51" s="41">
        <f>IF(A51="","",DATE(YEAR(A51),MONTH(A51),1))</f>
        <v/>
      </c>
      <c r="H51" s="46" t="n"/>
    </row>
    <row r="52" ht="14.25" customHeight="1" s="63">
      <c r="A52" s="48" t="n"/>
      <c r="B52" s="46" t="n"/>
      <c r="C52" s="46" t="n"/>
      <c r="D52" s="46" t="n"/>
      <c r="E52" s="49" t="n"/>
      <c r="F52" s="46" t="n"/>
      <c r="G52" s="41">
        <f>IF(A52="","",DATE(YEAR(A52),MONTH(A52),1))</f>
        <v/>
      </c>
      <c r="H52" s="46" t="n"/>
    </row>
    <row r="53" ht="14.25" customHeight="1" s="63">
      <c r="A53" s="48" t="n"/>
      <c r="B53" s="46" t="n"/>
      <c r="C53" s="46" t="n"/>
      <c r="D53" s="46" t="n"/>
      <c r="E53" s="49" t="n"/>
      <c r="F53" s="46" t="n"/>
      <c r="G53" s="41">
        <f>IF(A53="","",DATE(YEAR(A53),MONTH(A53),1))</f>
        <v/>
      </c>
      <c r="H53" s="46" t="n"/>
    </row>
    <row r="54" ht="14.25" customHeight="1" s="63">
      <c r="A54" s="48" t="n"/>
      <c r="B54" s="46" t="n"/>
      <c r="C54" s="46" t="n"/>
      <c r="D54" s="46" t="n"/>
      <c r="E54" s="49" t="n"/>
      <c r="F54" s="46" t="n"/>
      <c r="G54" s="41">
        <f>IF(A54="","",DATE(YEAR(A54),MONTH(A54),1))</f>
        <v/>
      </c>
      <c r="H54" s="46" t="n"/>
    </row>
    <row r="55" ht="14.25" customHeight="1" s="63">
      <c r="A55" s="48" t="n"/>
      <c r="B55" s="46" t="n"/>
      <c r="C55" s="46" t="n"/>
      <c r="D55" s="46" t="n"/>
      <c r="E55" s="49" t="n"/>
      <c r="F55" s="46" t="n"/>
      <c r="G55" s="41">
        <f>IF(A55="","",DATE(YEAR(A55),MONTH(A55),1))</f>
        <v/>
      </c>
      <c r="H55" s="46" t="n"/>
    </row>
    <row r="56" ht="14.25" customHeight="1" s="63">
      <c r="A56" s="48" t="n"/>
      <c r="B56" s="46" t="n"/>
      <c r="C56" s="46" t="n"/>
      <c r="D56" s="46" t="n"/>
      <c r="E56" s="49" t="n"/>
      <c r="F56" s="46" t="n"/>
      <c r="G56" s="41">
        <f>IF(A56="","",DATE(YEAR(A56),MONTH(A56),1))</f>
        <v/>
      </c>
      <c r="H56" s="46" t="n"/>
    </row>
    <row r="57" ht="14.25" customHeight="1" s="63">
      <c r="A57" s="48" t="n"/>
      <c r="B57" s="46" t="n"/>
      <c r="C57" s="46" t="n"/>
      <c r="D57" s="46" t="n"/>
      <c r="E57" s="49" t="n"/>
      <c r="F57" s="46" t="n"/>
      <c r="G57" s="41">
        <f>IF(A57="","",DATE(YEAR(A57),MONTH(A57),1))</f>
        <v/>
      </c>
      <c r="H57" s="46" t="n"/>
    </row>
    <row r="58" ht="14.25" customHeight="1" s="63">
      <c r="A58" s="48" t="n"/>
      <c r="B58" s="46" t="n"/>
      <c r="C58" s="46" t="n"/>
      <c r="D58" s="46" t="n"/>
      <c r="E58" s="49" t="n"/>
      <c r="F58" s="46" t="n"/>
      <c r="G58" s="41">
        <f>IF(A58="","",DATE(YEAR(A58),MONTH(A58),1))</f>
        <v/>
      </c>
      <c r="H58" s="46" t="n"/>
    </row>
    <row r="59" ht="14.25" customHeight="1" s="63">
      <c r="A59" s="48" t="n"/>
      <c r="B59" s="46" t="n"/>
      <c r="C59" s="46" t="n"/>
      <c r="D59" s="46" t="n"/>
      <c r="E59" s="49" t="n"/>
      <c r="F59" s="46" t="n"/>
      <c r="G59" s="41">
        <f>IF(A59="","",DATE(YEAR(A59),MONTH(A59),1))</f>
        <v/>
      </c>
      <c r="H59" s="46" t="n"/>
    </row>
    <row r="60" ht="14.25" customHeight="1" s="63">
      <c r="A60" s="48" t="n"/>
      <c r="B60" s="46" t="n"/>
      <c r="C60" s="46" t="n"/>
      <c r="D60" s="46" t="n"/>
      <c r="E60" s="49" t="n"/>
      <c r="F60" s="46" t="n"/>
      <c r="G60" s="41">
        <f>IF(A60="","",DATE(YEAR(A60),MONTH(A60),1))</f>
        <v/>
      </c>
      <c r="H60" s="46" t="n"/>
    </row>
    <row r="61" ht="14.25" customHeight="1" s="63">
      <c r="A61" s="48" t="n"/>
      <c r="B61" s="46" t="n"/>
      <c r="C61" s="46" t="n"/>
      <c r="D61" s="46" t="n"/>
      <c r="E61" s="49" t="n"/>
      <c r="F61" s="46" t="n"/>
      <c r="G61" s="41">
        <f>IF(A61="","",DATE(YEAR(A61),MONTH(A61),1))</f>
        <v/>
      </c>
      <c r="H61" s="46" t="n"/>
    </row>
    <row r="62" ht="14.25" customHeight="1" s="63">
      <c r="A62" s="48" t="n"/>
      <c r="B62" s="46" t="n"/>
      <c r="C62" s="46" t="n"/>
      <c r="D62" s="46" t="n"/>
      <c r="E62" s="49" t="n"/>
      <c r="F62" s="46" t="n"/>
      <c r="G62" s="41">
        <f>IF(A62="","",DATE(YEAR(A62),MONTH(A62),1))</f>
        <v/>
      </c>
      <c r="H62" s="46" t="n"/>
    </row>
    <row r="63" ht="14.25" customHeight="1" s="63">
      <c r="A63" s="48" t="n"/>
      <c r="B63" s="46" t="n"/>
      <c r="C63" s="46" t="n"/>
      <c r="D63" s="46" t="n"/>
      <c r="E63" s="49" t="n"/>
      <c r="F63" s="46" t="n"/>
      <c r="G63" s="41">
        <f>IF(A63="","",DATE(YEAR(A63),MONTH(A63),1))</f>
        <v/>
      </c>
      <c r="H63" s="46" t="n"/>
    </row>
    <row r="64" ht="14.25" customHeight="1" s="63">
      <c r="A64" s="48" t="n"/>
      <c r="B64" s="46" t="n"/>
      <c r="C64" s="46" t="n"/>
      <c r="D64" s="46" t="n"/>
      <c r="E64" s="49" t="n"/>
      <c r="F64" s="46" t="n"/>
      <c r="G64" s="41">
        <f>IF(A64="","",DATE(YEAR(A64),MONTH(A64),1))</f>
        <v/>
      </c>
      <c r="H64" s="46" t="n"/>
    </row>
    <row r="65" ht="14.25" customHeight="1" s="63">
      <c r="A65" s="48" t="n"/>
      <c r="B65" s="46" t="n"/>
      <c r="C65" s="46" t="n"/>
      <c r="D65" s="46" t="n"/>
      <c r="E65" s="49" t="n"/>
      <c r="F65" s="46" t="n"/>
      <c r="G65" s="41">
        <f>IF(A65="","",DATE(YEAR(A65),MONTH(A65),1))</f>
        <v/>
      </c>
      <c r="H65" s="46" t="n"/>
    </row>
    <row r="66" ht="14.25" customHeight="1" s="63">
      <c r="A66" s="48" t="n"/>
      <c r="B66" s="46" t="n"/>
      <c r="C66" s="46" t="n"/>
      <c r="D66" s="46" t="n"/>
      <c r="E66" s="49" t="n"/>
      <c r="F66" s="46" t="n"/>
      <c r="G66" s="41">
        <f>IF(A66="","",DATE(YEAR(A66),MONTH(A66),1))</f>
        <v/>
      </c>
      <c r="H66" s="46" t="n"/>
    </row>
    <row r="67" ht="14.25" customHeight="1" s="63">
      <c r="A67" s="48" t="n"/>
      <c r="B67" s="46" t="n"/>
      <c r="C67" s="46" t="n"/>
      <c r="D67" s="46" t="n"/>
      <c r="E67" s="49" t="n"/>
      <c r="F67" s="46" t="n"/>
      <c r="G67" s="41">
        <f>IF(A67="","",DATE(YEAR(A67),MONTH(A67),1))</f>
        <v/>
      </c>
      <c r="H67" s="46" t="n"/>
    </row>
    <row r="68" ht="14.25" customHeight="1" s="63">
      <c r="A68" s="48" t="n"/>
      <c r="B68" s="46" t="n"/>
      <c r="C68" s="46" t="n"/>
      <c r="D68" s="46" t="n"/>
      <c r="E68" s="49" t="n"/>
      <c r="F68" s="46" t="n"/>
      <c r="G68" s="41">
        <f>IF(A68="","",DATE(YEAR(A68),MONTH(A68),1))</f>
        <v/>
      </c>
      <c r="H68" s="46" t="n"/>
    </row>
    <row r="69" ht="14.25" customHeight="1" s="63">
      <c r="A69" s="48" t="n"/>
      <c r="B69" s="46" t="n"/>
      <c r="C69" s="46" t="n"/>
      <c r="D69" s="46" t="n"/>
      <c r="E69" s="49" t="n"/>
      <c r="F69" s="46" t="n"/>
      <c r="G69" s="41">
        <f>IF(A69="","",DATE(YEAR(A69),MONTH(A69),1))</f>
        <v/>
      </c>
      <c r="H69" s="46" t="n"/>
    </row>
    <row r="70" ht="14.25" customHeight="1" s="63">
      <c r="A70" s="48" t="n"/>
      <c r="B70" s="46" t="n"/>
      <c r="C70" s="46" t="n"/>
      <c r="D70" s="46" t="n"/>
      <c r="E70" s="49" t="n"/>
      <c r="F70" s="46" t="n"/>
      <c r="G70" s="41">
        <f>IF(A70="","",DATE(YEAR(A70),MONTH(A70),1))</f>
        <v/>
      </c>
      <c r="H70" s="46" t="n"/>
    </row>
    <row r="71" ht="14.25" customHeight="1" s="63">
      <c r="A71" s="48" t="n"/>
      <c r="B71" s="46" t="n"/>
      <c r="C71" s="46" t="n"/>
      <c r="D71" s="46" t="n"/>
      <c r="E71" s="49" t="n"/>
      <c r="F71" s="46" t="n"/>
      <c r="G71" s="41">
        <f>IF(A71="","",DATE(YEAR(A71),MONTH(A71),1))</f>
        <v/>
      </c>
      <c r="H71" s="46" t="n"/>
    </row>
    <row r="72" ht="14.25" customHeight="1" s="63">
      <c r="A72" s="48" t="n"/>
      <c r="B72" s="46" t="n"/>
      <c r="C72" s="46" t="n"/>
      <c r="D72" s="46" t="n"/>
      <c r="E72" s="49" t="n"/>
      <c r="F72" s="46" t="n"/>
      <c r="G72" s="41">
        <f>IF(A72="","",DATE(YEAR(A72),MONTH(A72),1))</f>
        <v/>
      </c>
      <c r="H72" s="46" t="n"/>
    </row>
    <row r="73" ht="14.25" customHeight="1" s="63">
      <c r="A73" s="48" t="n"/>
      <c r="B73" s="46" t="n"/>
      <c r="C73" s="46" t="n"/>
      <c r="D73" s="46" t="n"/>
      <c r="E73" s="49" t="n"/>
      <c r="F73" s="46" t="n"/>
      <c r="G73" s="41">
        <f>IF(A73="","",DATE(YEAR(A73),MONTH(A73),1))</f>
        <v/>
      </c>
      <c r="H73" s="46" t="n"/>
    </row>
    <row r="74" ht="14.25" customHeight="1" s="63">
      <c r="A74" s="48" t="n"/>
      <c r="B74" s="46" t="n"/>
      <c r="C74" s="46" t="n"/>
      <c r="D74" s="46" t="n"/>
      <c r="E74" s="49" t="n"/>
      <c r="F74" s="46" t="n"/>
      <c r="G74" s="41">
        <f>IF(A74="","",DATE(YEAR(A74),MONTH(A74),1))</f>
        <v/>
      </c>
      <c r="H74" s="46" t="n"/>
    </row>
    <row r="75" ht="14.25" customHeight="1" s="63">
      <c r="A75" s="48" t="n"/>
      <c r="B75" s="46" t="n"/>
      <c r="C75" s="46" t="n"/>
      <c r="D75" s="46" t="n"/>
      <c r="E75" s="49" t="n"/>
      <c r="F75" s="46" t="n"/>
      <c r="G75" s="41">
        <f>IF(A75="","",DATE(YEAR(A75),MONTH(A75),1))</f>
        <v/>
      </c>
      <c r="H75" s="46" t="n"/>
    </row>
    <row r="76" ht="14.25" customHeight="1" s="63">
      <c r="A76" s="48" t="n"/>
      <c r="B76" s="46" t="n"/>
      <c r="C76" s="46" t="n"/>
      <c r="D76" s="46" t="n"/>
      <c r="E76" s="49" t="n"/>
      <c r="F76" s="46" t="n"/>
      <c r="G76" s="41">
        <f>IF(A76="","",DATE(YEAR(A76),MONTH(A76),1))</f>
        <v/>
      </c>
      <c r="H76" s="46" t="n"/>
    </row>
    <row r="77" ht="14.25" customHeight="1" s="63">
      <c r="A77" s="48" t="n"/>
      <c r="B77" s="46" t="n"/>
      <c r="C77" s="46" t="n"/>
      <c r="D77" s="46" t="n"/>
      <c r="E77" s="49" t="n"/>
      <c r="F77" s="46" t="n"/>
      <c r="G77" s="41">
        <f>IF(A77="","",DATE(YEAR(A77),MONTH(A77),1))</f>
        <v/>
      </c>
      <c r="H77" s="46" t="n"/>
    </row>
    <row r="78" ht="14.25" customHeight="1" s="63">
      <c r="A78" s="48" t="n"/>
      <c r="B78" s="46" t="n"/>
      <c r="C78" s="46" t="n"/>
      <c r="D78" s="46" t="n"/>
      <c r="E78" s="49" t="n"/>
      <c r="F78" s="46" t="n"/>
      <c r="G78" s="41">
        <f>IF(A78="","",DATE(YEAR(A78),MONTH(A78),1))</f>
        <v/>
      </c>
      <c r="H78" s="46" t="n"/>
    </row>
    <row r="79" ht="14.25" customHeight="1" s="63">
      <c r="A79" s="48" t="n"/>
      <c r="B79" s="46" t="n"/>
      <c r="C79" s="46" t="n"/>
      <c r="D79" s="46" t="n"/>
      <c r="E79" s="49" t="n"/>
      <c r="F79" s="46" t="n"/>
      <c r="G79" s="41">
        <f>IF(A79="","",DATE(YEAR(A79),MONTH(A79),1))</f>
        <v/>
      </c>
      <c r="H79" s="46" t="n"/>
    </row>
    <row r="80" ht="14.25" customHeight="1" s="63">
      <c r="A80" s="48" t="n"/>
      <c r="B80" s="46" t="n"/>
      <c r="C80" s="46" t="n"/>
      <c r="D80" s="46" t="n"/>
      <c r="E80" s="49" t="n"/>
      <c r="F80" s="46" t="n"/>
      <c r="G80" s="41">
        <f>IF(A80="","",DATE(YEAR(A80),MONTH(A80),1))</f>
        <v/>
      </c>
      <c r="H80" s="46" t="n"/>
    </row>
    <row r="81" ht="14.25" customHeight="1" s="63">
      <c r="A81" s="48" t="n"/>
      <c r="B81" s="46" t="n"/>
      <c r="C81" s="46" t="n"/>
      <c r="D81" s="46" t="n"/>
      <c r="E81" s="49" t="n"/>
      <c r="F81" s="46" t="n"/>
      <c r="G81" s="41">
        <f>IF(A81="","",DATE(YEAR(A81),MONTH(A81),1))</f>
        <v/>
      </c>
      <c r="H81" s="46" t="n"/>
    </row>
    <row r="82" ht="14.25" customHeight="1" s="63">
      <c r="A82" s="48" t="n"/>
      <c r="B82" s="46" t="n"/>
      <c r="C82" s="46" t="n"/>
      <c r="D82" s="46" t="n"/>
      <c r="E82" s="49" t="n"/>
      <c r="F82" s="46" t="n"/>
      <c r="G82" s="41">
        <f>IF(A82="","",DATE(YEAR(A82),MONTH(A82),1))</f>
        <v/>
      </c>
      <c r="H82" s="46" t="n"/>
    </row>
    <row r="83" ht="14.25" customHeight="1" s="63">
      <c r="A83" s="48" t="n"/>
      <c r="B83" s="46" t="n"/>
      <c r="C83" s="46" t="n"/>
      <c r="D83" s="46" t="n"/>
      <c r="E83" s="49" t="n"/>
      <c r="F83" s="46" t="n"/>
      <c r="G83" s="41">
        <f>IF(A83="","",DATE(YEAR(A83),MONTH(A83),1))</f>
        <v/>
      </c>
      <c r="H83" s="46" t="n"/>
    </row>
    <row r="84" ht="14.25" customHeight="1" s="63">
      <c r="A84" s="48" t="n"/>
      <c r="B84" s="46" t="n"/>
      <c r="C84" s="46" t="n"/>
      <c r="D84" s="46" t="n"/>
      <c r="E84" s="49" t="n"/>
      <c r="F84" s="46" t="n"/>
      <c r="G84" s="41">
        <f>IF(A84="","",DATE(YEAR(A84),MONTH(A84),1))</f>
        <v/>
      </c>
      <c r="H84" s="46" t="n"/>
    </row>
    <row r="85" ht="14.25" customHeight="1" s="63">
      <c r="A85" s="48" t="n"/>
      <c r="B85" s="46" t="n"/>
      <c r="C85" s="46" t="n"/>
      <c r="D85" s="46" t="n"/>
      <c r="E85" s="49" t="n"/>
      <c r="F85" s="46" t="n"/>
      <c r="G85" s="41">
        <f>IF(A85="","",DATE(YEAR(A85),MONTH(A85),1))</f>
        <v/>
      </c>
      <c r="H85" s="46" t="n"/>
    </row>
    <row r="86" ht="14.25" customHeight="1" s="63">
      <c r="A86" s="48" t="n"/>
      <c r="B86" s="46" t="n"/>
      <c r="C86" s="46" t="n"/>
      <c r="D86" s="46" t="n"/>
      <c r="E86" s="49" t="n"/>
      <c r="F86" s="46" t="n"/>
      <c r="G86" s="41">
        <f>IF(A86="","",DATE(YEAR(A86),MONTH(A86),1))</f>
        <v/>
      </c>
      <c r="H86" s="46" t="n"/>
    </row>
    <row r="87" ht="14.25" customHeight="1" s="63">
      <c r="A87" s="48" t="n"/>
      <c r="B87" s="46" t="n"/>
      <c r="C87" s="46" t="n"/>
      <c r="D87" s="46" t="n"/>
      <c r="E87" s="49" t="n"/>
      <c r="F87" s="46" t="n"/>
      <c r="G87" s="41">
        <f>IF(A87="","",DATE(YEAR(A87),MONTH(A87),1))</f>
        <v/>
      </c>
      <c r="H87" s="46" t="n"/>
    </row>
    <row r="88" ht="14.25" customHeight="1" s="63">
      <c r="A88" s="48" t="n"/>
      <c r="B88" s="46" t="n"/>
      <c r="C88" s="46" t="n"/>
      <c r="D88" s="46" t="n"/>
      <c r="E88" s="49" t="n"/>
      <c r="F88" s="46" t="n"/>
      <c r="G88" s="41">
        <f>IF(A88="","",DATE(YEAR(A88),MONTH(A88),1))</f>
        <v/>
      </c>
      <c r="H88" s="46" t="n"/>
    </row>
    <row r="89" ht="14.25" customHeight="1" s="63">
      <c r="A89" s="48" t="n"/>
      <c r="B89" s="46" t="n"/>
      <c r="C89" s="46" t="n"/>
      <c r="D89" s="46" t="n"/>
      <c r="E89" s="49" t="n"/>
      <c r="F89" s="46" t="n"/>
      <c r="G89" s="41">
        <f>IF(A89="","",DATE(YEAR(A89),MONTH(A89),1))</f>
        <v/>
      </c>
      <c r="H89" s="46" t="n"/>
    </row>
    <row r="90" ht="14.25" customHeight="1" s="63">
      <c r="A90" s="48" t="n"/>
      <c r="B90" s="46" t="n"/>
      <c r="C90" s="46" t="n"/>
      <c r="D90" s="46" t="n"/>
      <c r="E90" s="49" t="n"/>
      <c r="F90" s="46" t="n"/>
      <c r="G90" s="41">
        <f>IF(A90="","",DATE(YEAR(A90),MONTH(A90),1))</f>
        <v/>
      </c>
      <c r="H90" s="46" t="n"/>
    </row>
    <row r="91" ht="14.25" customHeight="1" s="63">
      <c r="A91" s="48" t="n"/>
      <c r="B91" s="46" t="n"/>
      <c r="C91" s="46" t="n"/>
      <c r="D91" s="46" t="n"/>
      <c r="E91" s="49" t="n"/>
      <c r="F91" s="46" t="n"/>
      <c r="G91" s="41">
        <f>IF(A91="","",DATE(YEAR(A91),MONTH(A91),1))</f>
        <v/>
      </c>
      <c r="H91" s="46" t="n"/>
    </row>
    <row r="92" ht="14.25" customHeight="1" s="63">
      <c r="A92" s="48" t="n"/>
      <c r="B92" s="46" t="n"/>
      <c r="C92" s="46" t="n"/>
      <c r="D92" s="46" t="n"/>
      <c r="E92" s="49" t="n"/>
      <c r="F92" s="46" t="n"/>
      <c r="G92" s="41">
        <f>IF(A92="","",DATE(YEAR(A92),MONTH(A92),1))</f>
        <v/>
      </c>
      <c r="H92" s="46" t="n"/>
    </row>
    <row r="93" ht="14.25" customHeight="1" s="63">
      <c r="A93" s="48" t="n"/>
      <c r="B93" s="46" t="n"/>
      <c r="C93" s="46" t="n"/>
      <c r="D93" s="46" t="n"/>
      <c r="E93" s="49" t="n"/>
      <c r="F93" s="46" t="n"/>
      <c r="G93" s="41">
        <f>IF(A93="","",DATE(YEAR(A93),MONTH(A93),1))</f>
        <v/>
      </c>
      <c r="H93" s="46" t="n"/>
    </row>
    <row r="94" ht="14.25" customHeight="1" s="63">
      <c r="A94" s="48" t="n"/>
      <c r="B94" s="46" t="n"/>
      <c r="C94" s="46" t="n"/>
      <c r="D94" s="46" t="n"/>
      <c r="E94" s="49" t="n"/>
      <c r="F94" s="46" t="n"/>
      <c r="G94" s="41">
        <f>IF(A94="","",DATE(YEAR(A94),MONTH(A94),1))</f>
        <v/>
      </c>
      <c r="H94" s="46" t="n"/>
    </row>
    <row r="95" ht="14.25" customHeight="1" s="63">
      <c r="A95" s="48" t="n"/>
      <c r="B95" s="46" t="n"/>
      <c r="C95" s="46" t="n"/>
      <c r="D95" s="46" t="n"/>
      <c r="E95" s="49" t="n"/>
      <c r="F95" s="46" t="n"/>
      <c r="G95" s="41">
        <f>IF(A95="","",DATE(YEAR(A95),MONTH(A95),1))</f>
        <v/>
      </c>
      <c r="H95" s="46" t="n"/>
    </row>
    <row r="96" ht="14.25" customHeight="1" s="63">
      <c r="A96" s="48" t="n"/>
      <c r="B96" s="46" t="n"/>
      <c r="C96" s="46" t="n"/>
      <c r="D96" s="46" t="n"/>
      <c r="E96" s="49" t="n"/>
      <c r="F96" s="46" t="n"/>
      <c r="G96" s="41">
        <f>IF(A96="","",DATE(YEAR(A96),MONTH(A96),1))</f>
        <v/>
      </c>
      <c r="H96" s="46" t="n"/>
    </row>
    <row r="97" ht="14.25" customHeight="1" s="63">
      <c r="A97" s="48" t="n"/>
      <c r="B97" s="46" t="n"/>
      <c r="C97" s="46" t="n"/>
      <c r="D97" s="46" t="n"/>
      <c r="E97" s="49" t="n"/>
      <c r="F97" s="46" t="n"/>
      <c r="G97" s="41">
        <f>IF(A97="","",DATE(YEAR(A97),MONTH(A97),1))</f>
        <v/>
      </c>
      <c r="H97" s="46" t="n"/>
    </row>
    <row r="98" ht="14.25" customHeight="1" s="63">
      <c r="A98" s="48" t="n"/>
      <c r="B98" s="46" t="n"/>
      <c r="C98" s="46" t="n"/>
      <c r="D98" s="46" t="n"/>
      <c r="E98" s="49" t="n"/>
      <c r="F98" s="46" t="n"/>
      <c r="G98" s="41">
        <f>IF(A98="","",DATE(YEAR(A98),MONTH(A98),1))</f>
        <v/>
      </c>
      <c r="H98" s="46" t="n"/>
    </row>
    <row r="99" ht="14.25" customHeight="1" s="63">
      <c r="A99" s="48" t="n"/>
      <c r="B99" s="46" t="n"/>
      <c r="C99" s="46" t="n"/>
      <c r="D99" s="46" t="n"/>
      <c r="E99" s="49" t="n"/>
      <c r="F99" s="46" t="n"/>
      <c r="G99" s="41">
        <f>IF(A99="","",DATE(YEAR(A99),MONTH(A99),1))</f>
        <v/>
      </c>
      <c r="H99" s="46" t="n"/>
    </row>
    <row r="100" ht="14.25" customHeight="1" s="63">
      <c r="A100" s="48" t="n"/>
      <c r="B100" s="46" t="n"/>
      <c r="C100" s="46" t="n"/>
      <c r="D100" s="46" t="n"/>
      <c r="E100" s="49" t="n"/>
      <c r="F100" s="46" t="n"/>
      <c r="G100" s="41">
        <f>IF(A100="","",DATE(YEAR(A100),MONTH(A100),1))</f>
        <v/>
      </c>
      <c r="H100" s="46" t="n"/>
    </row>
    <row r="101" ht="14.25" customHeight="1" s="63">
      <c r="A101" s="48" t="n"/>
      <c r="B101" s="46" t="n"/>
      <c r="C101" s="46" t="n"/>
      <c r="D101" s="46" t="n"/>
      <c r="E101" s="49" t="n"/>
      <c r="F101" s="46" t="n"/>
      <c r="G101" s="41">
        <f>IF(A101="","",DATE(YEAR(A101),MONTH(A101),1))</f>
        <v/>
      </c>
      <c r="H101" s="46" t="n"/>
    </row>
    <row r="102" ht="14.25" customHeight="1" s="63">
      <c r="A102" s="48" t="n"/>
      <c r="B102" s="46" t="n"/>
      <c r="C102" s="46" t="n"/>
      <c r="D102" s="46" t="n"/>
      <c r="E102" s="49" t="n"/>
      <c r="F102" s="46" t="n"/>
      <c r="G102" s="41">
        <f>IF(A102="","",DATE(YEAR(A102),MONTH(A102),1))</f>
        <v/>
      </c>
      <c r="H102" s="46" t="n"/>
    </row>
    <row r="103" ht="14.25" customHeight="1" s="63">
      <c r="A103" s="48" t="n"/>
      <c r="B103" s="46" t="n"/>
      <c r="C103" s="46" t="n"/>
      <c r="D103" s="46" t="n"/>
      <c r="E103" s="49" t="n"/>
      <c r="F103" s="46" t="n"/>
      <c r="G103" s="41">
        <f>IF(A103="","",DATE(YEAR(A103),MONTH(A103),1))</f>
        <v/>
      </c>
      <c r="H103" s="46" t="n"/>
    </row>
    <row r="104" ht="14.25" customHeight="1" s="63">
      <c r="A104" s="48" t="n"/>
      <c r="B104" s="46" t="n"/>
      <c r="C104" s="46" t="n"/>
      <c r="D104" s="46" t="n"/>
      <c r="E104" s="49" t="n"/>
      <c r="F104" s="46" t="n"/>
      <c r="G104" s="41">
        <f>IF(A104="","",DATE(YEAR(A104),MONTH(A104),1))</f>
        <v/>
      </c>
      <c r="H104" s="46" t="n"/>
    </row>
    <row r="105" ht="14.25" customHeight="1" s="63">
      <c r="A105" s="48" t="n"/>
      <c r="B105" s="46" t="n"/>
      <c r="C105" s="46" t="n"/>
      <c r="D105" s="46" t="n"/>
      <c r="E105" s="49" t="n"/>
      <c r="F105" s="46" t="n"/>
      <c r="G105" s="41">
        <f>IF(A105="","",DATE(YEAR(A105),MONTH(A105),1))</f>
        <v/>
      </c>
      <c r="H105" s="46" t="n"/>
    </row>
    <row r="106" ht="14.25" customHeight="1" s="63">
      <c r="A106" s="48" t="n"/>
      <c r="B106" s="46" t="n"/>
      <c r="C106" s="46" t="n"/>
      <c r="D106" s="46" t="n"/>
      <c r="E106" s="49" t="n"/>
      <c r="F106" s="46" t="n"/>
      <c r="G106" s="41">
        <f>IF(A106="","",DATE(YEAR(A106),MONTH(A106),1))</f>
        <v/>
      </c>
      <c r="H106" s="46" t="n"/>
    </row>
    <row r="107" ht="14.25" customHeight="1" s="63">
      <c r="A107" s="48" t="n"/>
      <c r="B107" s="46" t="n"/>
      <c r="C107" s="46" t="n"/>
      <c r="D107" s="46" t="n"/>
      <c r="E107" s="49" t="n"/>
      <c r="F107" s="46" t="n"/>
      <c r="G107" s="41">
        <f>IF(A107="","",DATE(YEAR(A107),MONTH(A107),1))</f>
        <v/>
      </c>
      <c r="H107" s="46" t="n"/>
    </row>
    <row r="108" ht="14.25" customHeight="1" s="63">
      <c r="A108" s="48" t="n"/>
      <c r="B108" s="46" t="n"/>
      <c r="C108" s="46" t="n"/>
      <c r="D108" s="46" t="n"/>
      <c r="E108" s="49" t="n"/>
      <c r="F108" s="46" t="n"/>
      <c r="G108" s="41">
        <f>IF(A108="","",DATE(YEAR(A108),MONTH(A108),1))</f>
        <v/>
      </c>
      <c r="H108" s="46" t="n"/>
    </row>
    <row r="109" ht="14.25" customHeight="1" s="63">
      <c r="A109" s="48" t="n"/>
      <c r="B109" s="46" t="n"/>
      <c r="C109" s="46" t="n"/>
      <c r="D109" s="46" t="n"/>
      <c r="E109" s="49" t="n"/>
      <c r="F109" s="46" t="n"/>
      <c r="G109" s="41">
        <f>IF(A109="","",DATE(YEAR(A109),MONTH(A109),1))</f>
        <v/>
      </c>
      <c r="H109" s="46" t="n"/>
    </row>
    <row r="110" ht="14.25" customHeight="1" s="63">
      <c r="A110" s="48" t="n"/>
      <c r="B110" s="46" t="n"/>
      <c r="C110" s="46" t="n"/>
      <c r="D110" s="46" t="n"/>
      <c r="E110" s="49" t="n"/>
      <c r="F110" s="46" t="n"/>
      <c r="G110" s="41">
        <f>IF(A110="","",DATE(YEAR(A110),MONTH(A110),1))</f>
        <v/>
      </c>
      <c r="H110" s="46" t="n"/>
    </row>
    <row r="111" ht="14.25" customHeight="1" s="63">
      <c r="A111" s="48" t="n"/>
      <c r="B111" s="46" t="n"/>
      <c r="C111" s="46" t="n"/>
      <c r="D111" s="46" t="n"/>
      <c r="E111" s="49" t="n"/>
      <c r="F111" s="46" t="n"/>
      <c r="G111" s="41">
        <f>IF(A111="","",DATE(YEAR(A111),MONTH(A111),1))</f>
        <v/>
      </c>
      <c r="H111" s="46" t="n"/>
    </row>
    <row r="112" ht="14.25" customHeight="1" s="63">
      <c r="A112" s="48" t="n"/>
      <c r="B112" s="46" t="n"/>
      <c r="C112" s="46" t="n"/>
      <c r="D112" s="46" t="n"/>
      <c r="E112" s="49" t="n"/>
      <c r="F112" s="46" t="n"/>
      <c r="G112" s="41">
        <f>IF(A112="","",DATE(YEAR(A112),MONTH(A112),1))</f>
        <v/>
      </c>
      <c r="H112" s="46" t="n"/>
    </row>
    <row r="113" ht="14.25" customHeight="1" s="63">
      <c r="A113" s="48" t="n"/>
      <c r="B113" s="46" t="n"/>
      <c r="C113" s="46" t="n"/>
      <c r="D113" s="46" t="n"/>
      <c r="E113" s="49" t="n"/>
      <c r="F113" s="46" t="n"/>
      <c r="G113" s="41">
        <f>IF(A113="","",DATE(YEAR(A113),MONTH(A113),1))</f>
        <v/>
      </c>
      <c r="H113" s="46" t="n"/>
    </row>
    <row r="114" ht="14.25" customHeight="1" s="63">
      <c r="A114" s="48" t="n"/>
      <c r="B114" s="46" t="n"/>
      <c r="C114" s="46" t="n"/>
      <c r="D114" s="46" t="n"/>
      <c r="E114" s="49" t="n"/>
      <c r="F114" s="46" t="n"/>
      <c r="G114" s="41">
        <f>IF(A114="","",DATE(YEAR(A114),MONTH(A114),1))</f>
        <v/>
      </c>
      <c r="H114" s="46" t="n"/>
    </row>
    <row r="115" ht="14.25" customHeight="1" s="63">
      <c r="A115" s="48" t="n"/>
      <c r="B115" s="46" t="n"/>
      <c r="C115" s="46" t="n"/>
      <c r="D115" s="46" t="n"/>
      <c r="E115" s="49" t="n"/>
      <c r="F115" s="46" t="n"/>
      <c r="G115" s="41">
        <f>IF(A115="","",DATE(YEAR(A115),MONTH(A115),1))</f>
        <v/>
      </c>
      <c r="H115" s="46" t="n"/>
    </row>
    <row r="116" ht="14.25" customHeight="1" s="63">
      <c r="A116" s="48" t="n"/>
      <c r="B116" s="46" t="n"/>
      <c r="C116" s="46" t="n"/>
      <c r="D116" s="46" t="n"/>
      <c r="E116" s="49" t="n"/>
      <c r="F116" s="46" t="n"/>
      <c r="G116" s="41">
        <f>IF(A116="","",DATE(YEAR(A116),MONTH(A116),1))</f>
        <v/>
      </c>
      <c r="H116" s="46" t="n"/>
    </row>
    <row r="117" ht="14.25" customHeight="1" s="63">
      <c r="A117" s="48" t="n"/>
      <c r="B117" s="46" t="n"/>
      <c r="C117" s="46" t="n"/>
      <c r="D117" s="46" t="n"/>
      <c r="E117" s="49" t="n"/>
      <c r="F117" s="46" t="n"/>
      <c r="G117" s="41">
        <f>IF(A117="","",DATE(YEAR(A117),MONTH(A117),1))</f>
        <v/>
      </c>
      <c r="H117" s="46" t="n"/>
    </row>
    <row r="118" ht="14.25" customHeight="1" s="63">
      <c r="A118" s="48" t="n"/>
      <c r="B118" s="46" t="n"/>
      <c r="C118" s="46" t="n"/>
      <c r="D118" s="46" t="n"/>
      <c r="E118" s="49" t="n"/>
      <c r="F118" s="46" t="n"/>
      <c r="G118" s="41">
        <f>IF(A118="","",DATE(YEAR(A118),MONTH(A118),1))</f>
        <v/>
      </c>
      <c r="H118" s="46" t="n"/>
    </row>
    <row r="119" ht="14.25" customHeight="1" s="63">
      <c r="A119" s="48" t="n"/>
      <c r="B119" s="46" t="n"/>
      <c r="C119" s="46" t="n"/>
      <c r="D119" s="46" t="n"/>
      <c r="E119" s="49" t="n"/>
      <c r="F119" s="46" t="n"/>
      <c r="G119" s="41">
        <f>IF(A119="","",DATE(YEAR(A119),MONTH(A119),1))</f>
        <v/>
      </c>
      <c r="H119" s="46" t="n"/>
    </row>
    <row r="120" ht="14.25" customHeight="1" s="63">
      <c r="A120" s="48" t="n"/>
      <c r="B120" s="46" t="n"/>
      <c r="C120" s="46" t="n"/>
      <c r="D120" s="46" t="n"/>
      <c r="E120" s="49" t="n"/>
      <c r="F120" s="46" t="n"/>
      <c r="G120" s="41">
        <f>IF(A120="","",DATE(YEAR(A120),MONTH(A120),1))</f>
        <v/>
      </c>
      <c r="H120" s="46" t="n"/>
    </row>
    <row r="121" ht="14.25" customHeight="1" s="63">
      <c r="A121" s="48" t="n"/>
      <c r="B121" s="46" t="n"/>
      <c r="C121" s="46" t="n"/>
      <c r="D121" s="46" t="n"/>
      <c r="E121" s="49" t="n"/>
      <c r="F121" s="46" t="n"/>
      <c r="G121" s="41">
        <f>IF(A121="","",DATE(YEAR(A121),MONTH(A121),1))</f>
        <v/>
      </c>
      <c r="H121" s="46" t="n"/>
    </row>
    <row r="122" ht="14.25" customHeight="1" s="63">
      <c r="A122" s="48" t="n"/>
      <c r="B122" s="46" t="n"/>
      <c r="C122" s="46" t="n"/>
      <c r="D122" s="46" t="n"/>
      <c r="E122" s="49" t="n"/>
      <c r="F122" s="46" t="n"/>
      <c r="G122" s="41">
        <f>IF(A122="","",DATE(YEAR(A122),MONTH(A122),1))</f>
        <v/>
      </c>
      <c r="H122" s="46" t="n"/>
    </row>
    <row r="123" ht="14.25" customHeight="1" s="63">
      <c r="A123" s="48" t="n"/>
      <c r="B123" s="46" t="n"/>
      <c r="C123" s="46" t="n"/>
      <c r="D123" s="46" t="n"/>
      <c r="E123" s="49" t="n"/>
      <c r="F123" s="46" t="n"/>
      <c r="G123" s="41">
        <f>IF(A123="","",DATE(YEAR(A123),MONTH(A123),1))</f>
        <v/>
      </c>
      <c r="H123" s="46" t="n"/>
    </row>
    <row r="124" ht="14.25" customHeight="1" s="63">
      <c r="A124" s="48" t="n"/>
      <c r="B124" s="46" t="n"/>
      <c r="C124" s="46" t="n"/>
      <c r="D124" s="46" t="n"/>
      <c r="E124" s="49" t="n"/>
      <c r="F124" s="46" t="n"/>
      <c r="G124" s="41">
        <f>IF(A124="","",DATE(YEAR(A124),MONTH(A124),1))</f>
        <v/>
      </c>
      <c r="H124" s="46" t="n"/>
    </row>
    <row r="125" ht="14.25" customHeight="1" s="63">
      <c r="A125" s="48" t="n"/>
      <c r="B125" s="46" t="n"/>
      <c r="C125" s="46" t="n"/>
      <c r="D125" s="46" t="n"/>
      <c r="E125" s="49" t="n"/>
      <c r="F125" s="46" t="n"/>
      <c r="G125" s="41">
        <f>IF(A125="","",DATE(YEAR(A125),MONTH(A125),1))</f>
        <v/>
      </c>
      <c r="H125" s="46" t="n"/>
    </row>
    <row r="126" ht="14.25" customHeight="1" s="63">
      <c r="A126" s="48" t="n"/>
      <c r="B126" s="46" t="n"/>
      <c r="C126" s="46" t="n"/>
      <c r="D126" s="46" t="n"/>
      <c r="E126" s="49" t="n"/>
      <c r="F126" s="46" t="n"/>
      <c r="G126" s="41">
        <f>IF(A126="","",DATE(YEAR(A126),MONTH(A126),1))</f>
        <v/>
      </c>
      <c r="H126" s="46" t="n"/>
    </row>
    <row r="127" ht="14.25" customHeight="1" s="63">
      <c r="A127" s="48" t="n"/>
      <c r="B127" s="46" t="n"/>
      <c r="C127" s="46" t="n"/>
      <c r="D127" s="46" t="n"/>
      <c r="E127" s="49" t="n"/>
      <c r="F127" s="46" t="n"/>
      <c r="G127" s="41">
        <f>IF(A127="","",DATE(YEAR(A127),MONTH(A127),1))</f>
        <v/>
      </c>
      <c r="H127" s="46" t="n"/>
    </row>
    <row r="128" ht="14.25" customHeight="1" s="63">
      <c r="A128" s="48" t="n"/>
      <c r="B128" s="46" t="n"/>
      <c r="C128" s="46" t="n"/>
      <c r="D128" s="46" t="n"/>
      <c r="E128" s="49" t="n"/>
      <c r="F128" s="46" t="n"/>
      <c r="G128" s="41">
        <f>IF(A128="","",DATE(YEAR(A128),MONTH(A128),1))</f>
        <v/>
      </c>
      <c r="H128" s="46" t="n"/>
    </row>
    <row r="129" ht="14.25" customHeight="1" s="63">
      <c r="A129" s="48" t="n"/>
      <c r="B129" s="46" t="n"/>
      <c r="C129" s="46" t="n"/>
      <c r="D129" s="46" t="n"/>
      <c r="E129" s="49" t="n"/>
      <c r="F129" s="46" t="n"/>
      <c r="G129" s="41">
        <f>IF(A129="","",DATE(YEAR(A129),MONTH(A129),1))</f>
        <v/>
      </c>
      <c r="H129" s="46" t="n"/>
    </row>
    <row r="130" ht="14.25" customHeight="1" s="63">
      <c r="A130" s="48" t="n"/>
      <c r="B130" s="46" t="n"/>
      <c r="C130" s="46" t="n"/>
      <c r="D130" s="46" t="n"/>
      <c r="E130" s="49" t="n"/>
      <c r="F130" s="46" t="n"/>
      <c r="G130" s="41">
        <f>IF(A130="","",DATE(YEAR(A130),MONTH(A130),1))</f>
        <v/>
      </c>
      <c r="H130" s="46" t="n"/>
    </row>
    <row r="131" ht="14.25" customHeight="1" s="63">
      <c r="A131" s="48" t="n"/>
      <c r="B131" s="46" t="n"/>
      <c r="C131" s="46" t="n"/>
      <c r="D131" s="46" t="n"/>
      <c r="E131" s="49" t="n"/>
      <c r="F131" s="46" t="n"/>
      <c r="G131" s="41">
        <f>IF(A131="","",DATE(YEAR(A131),MONTH(A131),1))</f>
        <v/>
      </c>
      <c r="H131" s="46" t="n"/>
    </row>
    <row r="132" ht="14.25" customHeight="1" s="63">
      <c r="A132" s="48" t="n"/>
      <c r="B132" s="46" t="n"/>
      <c r="C132" s="46" t="n"/>
      <c r="D132" s="46" t="n"/>
      <c r="E132" s="49" t="n"/>
      <c r="F132" s="46" t="n"/>
      <c r="G132" s="41">
        <f>IF(A132="","",DATE(YEAR(A132),MONTH(A132),1))</f>
        <v/>
      </c>
      <c r="H132" s="46" t="n"/>
    </row>
    <row r="133" ht="14.25" customHeight="1" s="63">
      <c r="A133" s="48" t="n"/>
      <c r="B133" s="46" t="n"/>
      <c r="C133" s="46" t="n"/>
      <c r="D133" s="46" t="n"/>
      <c r="E133" s="49" t="n"/>
      <c r="F133" s="46" t="n"/>
      <c r="G133" s="41">
        <f>IF(A133="","",DATE(YEAR(A133),MONTH(A133),1))</f>
        <v/>
      </c>
      <c r="H133" s="46" t="n"/>
    </row>
    <row r="134" ht="14.25" customHeight="1" s="63">
      <c r="A134" s="48" t="n"/>
      <c r="B134" s="46" t="n"/>
      <c r="C134" s="46" t="n"/>
      <c r="D134" s="46" t="n"/>
      <c r="E134" s="49" t="n"/>
      <c r="F134" s="46" t="n"/>
      <c r="G134" s="41">
        <f>IF(A134="","",DATE(YEAR(A134),MONTH(A134),1))</f>
        <v/>
      </c>
      <c r="H134" s="46" t="n"/>
    </row>
    <row r="135" ht="14.25" customHeight="1" s="63">
      <c r="A135" s="48" t="n"/>
      <c r="B135" s="46" t="n"/>
      <c r="C135" s="46" t="n"/>
      <c r="D135" s="46" t="n"/>
      <c r="E135" s="49" t="n"/>
      <c r="F135" s="46" t="n"/>
      <c r="G135" s="41">
        <f>IF(A135="","",DATE(YEAR(A135),MONTH(A135),1))</f>
        <v/>
      </c>
      <c r="H135" s="46" t="n"/>
    </row>
    <row r="136" ht="14.25" customHeight="1" s="63">
      <c r="A136" s="48" t="n"/>
      <c r="B136" s="46" t="n"/>
      <c r="C136" s="46" t="n"/>
      <c r="D136" s="46" t="n"/>
      <c r="E136" s="49" t="n"/>
      <c r="F136" s="46" t="n"/>
      <c r="G136" s="41">
        <f>IF(A136="","",DATE(YEAR(A136),MONTH(A136),1))</f>
        <v/>
      </c>
      <c r="H136" s="46" t="n"/>
    </row>
    <row r="137" ht="14.25" customHeight="1" s="63">
      <c r="A137" s="48" t="n"/>
      <c r="B137" s="46" t="n"/>
      <c r="C137" s="46" t="n"/>
      <c r="D137" s="46" t="n"/>
      <c r="E137" s="49" t="n"/>
      <c r="F137" s="46" t="n"/>
      <c r="G137" s="41">
        <f>IF(A137="","",DATE(YEAR(A137),MONTH(A137),1))</f>
        <v/>
      </c>
      <c r="H137" s="46" t="n"/>
    </row>
    <row r="138" ht="14.25" customHeight="1" s="63">
      <c r="A138" s="48" t="n"/>
      <c r="B138" s="46" t="n"/>
      <c r="C138" s="46" t="n"/>
      <c r="D138" s="46" t="n"/>
      <c r="E138" s="49" t="n"/>
      <c r="F138" s="46" t="n"/>
      <c r="G138" s="41">
        <f>IF(A138="","",DATE(YEAR(A138),MONTH(A138),1))</f>
        <v/>
      </c>
      <c r="H138" s="46" t="n"/>
    </row>
    <row r="139" ht="14.25" customHeight="1" s="63">
      <c r="A139" s="48" t="n"/>
      <c r="B139" s="46" t="n"/>
      <c r="C139" s="46" t="n"/>
      <c r="D139" s="46" t="n"/>
      <c r="E139" s="49" t="n"/>
      <c r="F139" s="46" t="n"/>
      <c r="G139" s="41">
        <f>IF(A139="","",DATE(YEAR(A139),MONTH(A139),1))</f>
        <v/>
      </c>
      <c r="H139" s="46" t="n"/>
    </row>
    <row r="140" ht="14.25" customHeight="1" s="63">
      <c r="A140" s="48" t="n"/>
      <c r="B140" s="46" t="n"/>
      <c r="C140" s="46" t="n"/>
      <c r="D140" s="46" t="n"/>
      <c r="E140" s="49" t="n"/>
      <c r="F140" s="46" t="n"/>
      <c r="G140" s="41">
        <f>IF(A140="","",DATE(YEAR(A140),MONTH(A140),1))</f>
        <v/>
      </c>
      <c r="H140" s="46" t="n"/>
    </row>
    <row r="141" ht="14.25" customHeight="1" s="63">
      <c r="A141" s="48" t="n"/>
      <c r="B141" s="46" t="n"/>
      <c r="C141" s="46" t="n"/>
      <c r="D141" s="46" t="n"/>
      <c r="E141" s="49" t="n"/>
      <c r="F141" s="46" t="n"/>
      <c r="G141" s="41">
        <f>IF(A141="","",DATE(YEAR(A141),MONTH(A141),1))</f>
        <v/>
      </c>
      <c r="H141" s="46" t="n"/>
    </row>
    <row r="142" ht="14.25" customHeight="1" s="63">
      <c r="A142" s="48" t="n"/>
      <c r="B142" s="46" t="n"/>
      <c r="C142" s="46" t="n"/>
      <c r="D142" s="46" t="n"/>
      <c r="E142" s="49" t="n"/>
      <c r="F142" s="46" t="n"/>
      <c r="G142" s="41">
        <f>IF(A142="","",DATE(YEAR(A142),MONTH(A142),1))</f>
        <v/>
      </c>
      <c r="H142" s="46" t="n"/>
    </row>
    <row r="143" ht="14.25" customHeight="1" s="63">
      <c r="A143" s="48" t="n"/>
      <c r="B143" s="46" t="n"/>
      <c r="C143" s="46" t="n"/>
      <c r="D143" s="46" t="n"/>
      <c r="E143" s="49" t="n"/>
      <c r="F143" s="46" t="n"/>
      <c r="G143" s="41">
        <f>IF(A143="","",DATE(YEAR(A143),MONTH(A143),1))</f>
        <v/>
      </c>
      <c r="H143" s="46" t="n"/>
    </row>
    <row r="144" ht="14.25" customHeight="1" s="63">
      <c r="A144" s="48" t="n"/>
      <c r="B144" s="46" t="n"/>
      <c r="C144" s="46" t="n"/>
      <c r="D144" s="46" t="n"/>
      <c r="E144" s="49" t="n"/>
      <c r="F144" s="46" t="n"/>
      <c r="G144" s="41">
        <f>IF(A144="","",DATE(YEAR(A144),MONTH(A144),1))</f>
        <v/>
      </c>
      <c r="H144" s="46" t="n"/>
    </row>
    <row r="145" ht="14.25" customHeight="1" s="63">
      <c r="A145" s="48" t="n"/>
      <c r="B145" s="46" t="n"/>
      <c r="C145" s="46" t="n"/>
      <c r="D145" s="46" t="n"/>
      <c r="E145" s="49" t="n"/>
      <c r="F145" s="46" t="n"/>
      <c r="G145" s="41">
        <f>IF(A145="","",DATE(YEAR(A145),MONTH(A145),1))</f>
        <v/>
      </c>
      <c r="H145" s="46" t="n"/>
    </row>
    <row r="146" ht="14.25" customHeight="1" s="63">
      <c r="A146" s="48" t="n"/>
      <c r="B146" s="46" t="n"/>
      <c r="C146" s="46" t="n"/>
      <c r="D146" s="46" t="n"/>
      <c r="E146" s="49" t="n"/>
      <c r="F146" s="46" t="n"/>
      <c r="G146" s="41">
        <f>IF(A146="","",DATE(YEAR(A146),MONTH(A146),1))</f>
        <v/>
      </c>
      <c r="H146" s="46" t="n"/>
    </row>
    <row r="147" ht="14.25" customHeight="1" s="63">
      <c r="A147" s="48" t="n"/>
      <c r="B147" s="46" t="n"/>
      <c r="C147" s="46" t="n"/>
      <c r="D147" s="46" t="n"/>
      <c r="E147" s="49" t="n"/>
      <c r="F147" s="46" t="n"/>
      <c r="G147" s="41">
        <f>IF(A147="","",DATE(YEAR(A147),MONTH(A147),1))</f>
        <v/>
      </c>
      <c r="H147" s="46" t="n"/>
    </row>
    <row r="148" ht="14.25" customHeight="1" s="63">
      <c r="A148" s="48" t="n"/>
      <c r="B148" s="46" t="n"/>
      <c r="C148" s="46" t="n"/>
      <c r="D148" s="46" t="n"/>
      <c r="E148" s="49" t="n"/>
      <c r="F148" s="46" t="n"/>
      <c r="G148" s="41">
        <f>IF(A148="","",DATE(YEAR(A148),MONTH(A148),1))</f>
        <v/>
      </c>
      <c r="H148" s="46" t="n"/>
    </row>
    <row r="149" ht="14.25" customHeight="1" s="63">
      <c r="A149" s="48" t="n"/>
      <c r="B149" s="46" t="n"/>
      <c r="C149" s="46" t="n"/>
      <c r="D149" s="46" t="n"/>
      <c r="E149" s="49" t="n"/>
      <c r="F149" s="46" t="n"/>
      <c r="G149" s="41">
        <f>IF(A149="","",DATE(YEAR(A149),MONTH(A149),1))</f>
        <v/>
      </c>
      <c r="H149" s="46" t="n"/>
    </row>
    <row r="150" ht="14.25" customHeight="1" s="63">
      <c r="A150" s="48" t="n"/>
      <c r="B150" s="46" t="n"/>
      <c r="C150" s="46" t="n"/>
      <c r="D150" s="46" t="n"/>
      <c r="E150" s="49" t="n"/>
      <c r="F150" s="46" t="n"/>
      <c r="G150" s="41">
        <f>IF(A150="","",DATE(YEAR(A150),MONTH(A150),1))</f>
        <v/>
      </c>
      <c r="H150" s="46" t="n"/>
    </row>
    <row r="151" ht="14.25" customHeight="1" s="63">
      <c r="A151" s="48" t="n"/>
      <c r="B151" s="46" t="n"/>
      <c r="C151" s="46" t="n"/>
      <c r="D151" s="46" t="n"/>
      <c r="E151" s="49" t="n"/>
      <c r="F151" s="46" t="n"/>
      <c r="G151" s="41">
        <f>IF(A151="","",DATE(YEAR(A151),MONTH(A151),1))</f>
        <v/>
      </c>
      <c r="H151" s="46" t="n"/>
    </row>
    <row r="152" ht="14.25" customHeight="1" s="63">
      <c r="A152" s="48" t="n"/>
      <c r="B152" s="46" t="n"/>
      <c r="C152" s="46" t="n"/>
      <c r="D152" s="46" t="n"/>
      <c r="E152" s="49" t="n"/>
      <c r="F152" s="46" t="n"/>
      <c r="G152" s="41">
        <f>IF(A152="","",DATE(YEAR(A152),MONTH(A152),1))</f>
        <v/>
      </c>
      <c r="H152" s="46" t="n"/>
    </row>
    <row r="153" ht="14.25" customHeight="1" s="63">
      <c r="A153" s="48" t="n"/>
      <c r="B153" s="46" t="n"/>
      <c r="C153" s="46" t="n"/>
      <c r="D153" s="46" t="n"/>
      <c r="E153" s="49" t="n"/>
      <c r="F153" s="46" t="n"/>
      <c r="G153" s="41">
        <f>IF(A153="","",DATE(YEAR(A153),MONTH(A153),1))</f>
        <v/>
      </c>
      <c r="H153" s="46" t="n"/>
    </row>
    <row r="154" ht="14.25" customHeight="1" s="63">
      <c r="A154" s="48" t="n"/>
      <c r="B154" s="46" t="n"/>
      <c r="C154" s="46" t="n"/>
      <c r="D154" s="46" t="n"/>
      <c r="E154" s="49" t="n"/>
      <c r="F154" s="46" t="n"/>
      <c r="G154" s="41">
        <f>IF(A154="","",DATE(YEAR(A154),MONTH(A154),1))</f>
        <v/>
      </c>
      <c r="H154" s="46" t="n"/>
    </row>
    <row r="155" ht="14.25" customHeight="1" s="63">
      <c r="A155" s="48" t="n"/>
      <c r="B155" s="46" t="n"/>
      <c r="C155" s="46" t="n"/>
      <c r="D155" s="46" t="n"/>
      <c r="E155" s="49" t="n"/>
      <c r="F155" s="46" t="n"/>
      <c r="G155" s="41">
        <f>IF(A155="","",DATE(YEAR(A155),MONTH(A155),1))</f>
        <v/>
      </c>
      <c r="H155" s="46" t="n"/>
    </row>
    <row r="156" ht="14.25" customHeight="1" s="63">
      <c r="A156" s="48" t="n"/>
      <c r="B156" s="46" t="n"/>
      <c r="C156" s="46" t="n"/>
      <c r="D156" s="46" t="n"/>
      <c r="E156" s="49" t="n"/>
      <c r="F156" s="46" t="n"/>
      <c r="G156" s="41">
        <f>IF(A156="","",DATE(YEAR(A156),MONTH(A156),1))</f>
        <v/>
      </c>
      <c r="H156" s="46" t="n"/>
    </row>
    <row r="157" ht="14.25" customHeight="1" s="63">
      <c r="A157" s="48" t="n"/>
      <c r="B157" s="46" t="n"/>
      <c r="C157" s="46" t="n"/>
      <c r="D157" s="46" t="n"/>
      <c r="E157" s="49" t="n"/>
      <c r="F157" s="46" t="n"/>
      <c r="G157" s="41">
        <f>IF(A157="","",DATE(YEAR(A157),MONTH(A157),1))</f>
        <v/>
      </c>
      <c r="H157" s="46" t="n"/>
    </row>
    <row r="158" ht="14.25" customHeight="1" s="63">
      <c r="A158" s="48" t="n"/>
      <c r="B158" s="46" t="n"/>
      <c r="C158" s="46" t="n"/>
      <c r="D158" s="46" t="n"/>
      <c r="E158" s="49" t="n"/>
      <c r="F158" s="46" t="n"/>
      <c r="G158" s="41">
        <f>IF(A158="","",DATE(YEAR(A158),MONTH(A158),1))</f>
        <v/>
      </c>
      <c r="H158" s="46" t="n"/>
    </row>
    <row r="159" ht="14.25" customHeight="1" s="63">
      <c r="A159" s="48" t="n"/>
      <c r="B159" s="46" t="n"/>
      <c r="C159" s="46" t="n"/>
      <c r="D159" s="46" t="n"/>
      <c r="E159" s="49" t="n"/>
      <c r="F159" s="46" t="n"/>
      <c r="G159" s="41">
        <f>IF(A159="","",DATE(YEAR(A159),MONTH(A159),1))</f>
        <v/>
      </c>
      <c r="H159" s="46" t="n"/>
    </row>
    <row r="160" ht="14.25" customHeight="1" s="63">
      <c r="A160" s="48" t="n"/>
      <c r="B160" s="46" t="n"/>
      <c r="C160" s="46" t="n"/>
      <c r="D160" s="46" t="n"/>
      <c r="E160" s="49" t="n"/>
      <c r="F160" s="46" t="n"/>
      <c r="G160" s="41">
        <f>IF(A160="","",DATE(YEAR(A160),MONTH(A160),1))</f>
        <v/>
      </c>
      <c r="H160" s="46" t="n"/>
    </row>
    <row r="161" ht="14.25" customHeight="1" s="63">
      <c r="A161" s="48" t="n"/>
      <c r="B161" s="46" t="n"/>
      <c r="C161" s="46" t="n"/>
      <c r="D161" s="46" t="n"/>
      <c r="E161" s="49" t="n"/>
      <c r="F161" s="46" t="n"/>
      <c r="G161" s="41">
        <f>IF(A161="","",DATE(YEAR(A161),MONTH(A161),1))</f>
        <v/>
      </c>
      <c r="H161" s="46" t="n"/>
    </row>
    <row r="162" ht="14.25" customHeight="1" s="63">
      <c r="A162" s="48" t="n"/>
      <c r="B162" s="46" t="n"/>
      <c r="C162" s="46" t="n"/>
      <c r="D162" s="46" t="n"/>
      <c r="E162" s="49" t="n"/>
      <c r="F162" s="46" t="n"/>
      <c r="G162" s="41">
        <f>IF(A162="","",DATE(YEAR(A162),MONTH(A162),1))</f>
        <v/>
      </c>
      <c r="H162" s="46" t="n"/>
    </row>
    <row r="163" ht="14.25" customHeight="1" s="63">
      <c r="A163" s="48" t="n"/>
      <c r="B163" s="46" t="n"/>
      <c r="C163" s="46" t="n"/>
      <c r="D163" s="46" t="n"/>
      <c r="E163" s="49" t="n"/>
      <c r="F163" s="46" t="n"/>
      <c r="G163" s="41">
        <f>IF(A163="","",DATE(YEAR(A163),MONTH(A163),1))</f>
        <v/>
      </c>
      <c r="H163" s="46" t="n"/>
    </row>
    <row r="164" ht="14.25" customHeight="1" s="63">
      <c r="A164" s="48" t="n"/>
      <c r="B164" s="46" t="n"/>
      <c r="C164" s="46" t="n"/>
      <c r="D164" s="46" t="n"/>
      <c r="E164" s="49" t="n"/>
      <c r="F164" s="46" t="n"/>
      <c r="G164" s="41">
        <f>IF(A164="","",DATE(YEAR(A164),MONTH(A164),1))</f>
        <v/>
      </c>
      <c r="H164" s="46" t="n"/>
    </row>
    <row r="165" ht="14.25" customHeight="1" s="63">
      <c r="A165" s="48" t="n"/>
      <c r="B165" s="46" t="n"/>
      <c r="C165" s="46" t="n"/>
      <c r="D165" s="46" t="n"/>
      <c r="E165" s="49" t="n"/>
      <c r="F165" s="46" t="n"/>
      <c r="G165" s="41">
        <f>IF(A165="","",DATE(YEAR(A165),MONTH(A165),1))</f>
        <v/>
      </c>
      <c r="H165" s="46" t="n"/>
    </row>
    <row r="166" ht="14.25" customHeight="1" s="63">
      <c r="A166" s="48" t="n"/>
      <c r="B166" s="46" t="n"/>
      <c r="C166" s="46" t="n"/>
      <c r="D166" s="46" t="n"/>
      <c r="E166" s="49" t="n"/>
      <c r="F166" s="46" t="n"/>
      <c r="G166" s="41">
        <f>IF(A166="","",DATE(YEAR(A166),MONTH(A166),1))</f>
        <v/>
      </c>
      <c r="H166" s="46" t="n"/>
    </row>
    <row r="167" ht="14.25" customHeight="1" s="63">
      <c r="A167" s="48" t="n"/>
      <c r="B167" s="46" t="n"/>
      <c r="C167" s="46" t="n"/>
      <c r="D167" s="46" t="n"/>
      <c r="E167" s="49" t="n"/>
      <c r="F167" s="46" t="n"/>
      <c r="G167" s="41">
        <f>IF(A167="","",DATE(YEAR(A167),MONTH(A167),1))</f>
        <v/>
      </c>
      <c r="H167" s="46" t="n"/>
    </row>
    <row r="168" ht="14.25" customHeight="1" s="63">
      <c r="A168" s="48" t="n"/>
      <c r="B168" s="46" t="n"/>
      <c r="C168" s="46" t="n"/>
      <c r="D168" s="46" t="n"/>
      <c r="E168" s="49" t="n"/>
      <c r="F168" s="46" t="n"/>
      <c r="G168" s="41">
        <f>IF(A168="","",DATE(YEAR(A168),MONTH(A168),1))</f>
        <v/>
      </c>
      <c r="H168" s="46" t="n"/>
    </row>
    <row r="169" ht="14.25" customHeight="1" s="63">
      <c r="A169" s="48" t="n"/>
      <c r="B169" s="46" t="n"/>
      <c r="C169" s="46" t="n"/>
      <c r="D169" s="46" t="n"/>
      <c r="E169" s="49" t="n"/>
      <c r="F169" s="46" t="n"/>
      <c r="G169" s="41">
        <f>IF(A169="","",DATE(YEAR(A169),MONTH(A169),1))</f>
        <v/>
      </c>
      <c r="H169" s="46" t="n"/>
    </row>
    <row r="170" ht="14.25" customHeight="1" s="63">
      <c r="A170" s="48" t="n"/>
      <c r="B170" s="46" t="n"/>
      <c r="C170" s="46" t="n"/>
      <c r="D170" s="46" t="n"/>
      <c r="E170" s="49" t="n"/>
      <c r="F170" s="46" t="n"/>
      <c r="G170" s="41">
        <f>IF(A170="","",DATE(YEAR(A170),MONTH(A170),1))</f>
        <v/>
      </c>
      <c r="H170" s="46" t="n"/>
    </row>
    <row r="171" ht="14.25" customHeight="1" s="63">
      <c r="A171" s="48" t="n"/>
      <c r="B171" s="46" t="n"/>
      <c r="C171" s="46" t="n"/>
      <c r="D171" s="46" t="n"/>
      <c r="E171" s="49" t="n"/>
      <c r="F171" s="46" t="n"/>
      <c r="G171" s="41">
        <f>IF(A171="","",DATE(YEAR(A171),MONTH(A171),1))</f>
        <v/>
      </c>
      <c r="H171" s="46" t="n"/>
    </row>
    <row r="172" ht="14.25" customHeight="1" s="63">
      <c r="A172" s="48" t="n"/>
      <c r="B172" s="46" t="n"/>
      <c r="C172" s="46" t="n"/>
      <c r="D172" s="46" t="n"/>
      <c r="E172" s="49" t="n"/>
      <c r="F172" s="46" t="n"/>
      <c r="G172" s="41">
        <f>IF(A172="","",DATE(YEAR(A172),MONTH(A172),1))</f>
        <v/>
      </c>
      <c r="H172" s="46" t="n"/>
    </row>
    <row r="173" ht="14.25" customHeight="1" s="63">
      <c r="A173" s="48" t="n"/>
      <c r="B173" s="46" t="n"/>
      <c r="C173" s="46" t="n"/>
      <c r="D173" s="46" t="n"/>
      <c r="E173" s="49" t="n"/>
      <c r="F173" s="46" t="n"/>
      <c r="G173" s="41">
        <f>IF(A173="","",DATE(YEAR(A173),MONTH(A173),1))</f>
        <v/>
      </c>
      <c r="H173" s="46" t="n"/>
    </row>
    <row r="174" ht="14.25" customHeight="1" s="63">
      <c r="A174" s="48" t="n"/>
      <c r="B174" s="46" t="n"/>
      <c r="C174" s="46" t="n"/>
      <c r="D174" s="46" t="n"/>
      <c r="E174" s="49" t="n"/>
      <c r="F174" s="46" t="n"/>
      <c r="G174" s="41">
        <f>IF(A174="","",DATE(YEAR(A174),MONTH(A174),1))</f>
        <v/>
      </c>
      <c r="H174" s="46" t="n"/>
    </row>
    <row r="175" ht="14.25" customHeight="1" s="63">
      <c r="A175" s="48" t="n"/>
      <c r="B175" s="46" t="n"/>
      <c r="C175" s="46" t="n"/>
      <c r="D175" s="46" t="n"/>
      <c r="E175" s="49" t="n"/>
      <c r="F175" s="46" t="n"/>
      <c r="G175" s="41">
        <f>IF(A175="","",DATE(YEAR(A175),MONTH(A175),1))</f>
        <v/>
      </c>
      <c r="H175" s="46" t="n"/>
    </row>
    <row r="176" ht="14.25" customHeight="1" s="63">
      <c r="A176" s="48" t="n"/>
      <c r="B176" s="46" t="n"/>
      <c r="C176" s="46" t="n"/>
      <c r="D176" s="46" t="n"/>
      <c r="E176" s="49" t="n"/>
      <c r="F176" s="46" t="n"/>
      <c r="G176" s="41">
        <f>IF(A176="","",DATE(YEAR(A176),MONTH(A176),1))</f>
        <v/>
      </c>
      <c r="H176" s="46" t="n"/>
    </row>
    <row r="177" ht="14.25" customHeight="1" s="63">
      <c r="A177" s="48" t="n"/>
      <c r="B177" s="46" t="n"/>
      <c r="C177" s="46" t="n"/>
      <c r="D177" s="46" t="n"/>
      <c r="E177" s="49" t="n"/>
      <c r="F177" s="46" t="n"/>
      <c r="G177" s="41">
        <f>IF(A177="","",DATE(YEAR(A177),MONTH(A177),1))</f>
        <v/>
      </c>
      <c r="H177" s="46" t="n"/>
    </row>
    <row r="178" ht="14.25" customHeight="1" s="63">
      <c r="A178" s="48" t="n"/>
      <c r="B178" s="46" t="n"/>
      <c r="C178" s="46" t="n"/>
      <c r="D178" s="46" t="n"/>
      <c r="E178" s="49" t="n"/>
      <c r="F178" s="46" t="n"/>
      <c r="G178" s="41">
        <f>IF(A178="","",DATE(YEAR(A178),MONTH(A178),1))</f>
        <v/>
      </c>
      <c r="H178" s="46" t="n"/>
    </row>
    <row r="179" ht="14.25" customHeight="1" s="63">
      <c r="A179" s="48" t="n"/>
      <c r="B179" s="46" t="n"/>
      <c r="C179" s="46" t="n"/>
      <c r="D179" s="46" t="n"/>
      <c r="E179" s="49" t="n"/>
      <c r="F179" s="46" t="n"/>
      <c r="G179" s="41">
        <f>IF(A179="","",DATE(YEAR(A179),MONTH(A179),1))</f>
        <v/>
      </c>
      <c r="H179" s="46" t="n"/>
    </row>
    <row r="180" ht="14.25" customHeight="1" s="63">
      <c r="A180" s="48" t="n"/>
      <c r="B180" s="46" t="n"/>
      <c r="C180" s="46" t="n"/>
      <c r="D180" s="46" t="n"/>
      <c r="E180" s="49" t="n"/>
      <c r="F180" s="46" t="n"/>
      <c r="G180" s="41">
        <f>IF(A180="","",DATE(YEAR(A180),MONTH(A180),1))</f>
        <v/>
      </c>
      <c r="H180" s="46" t="n"/>
    </row>
    <row r="181" ht="14.25" customHeight="1" s="63">
      <c r="A181" s="48" t="n"/>
      <c r="B181" s="46" t="n"/>
      <c r="C181" s="46" t="n"/>
      <c r="D181" s="46" t="n"/>
      <c r="E181" s="49" t="n"/>
      <c r="F181" s="46" t="n"/>
      <c r="G181" s="41">
        <f>IF(A181="","",DATE(YEAR(A181),MONTH(A181),1))</f>
        <v/>
      </c>
      <c r="H181" s="46" t="n"/>
    </row>
    <row r="182" ht="14.25" customHeight="1" s="63">
      <c r="A182" s="48" t="n"/>
      <c r="B182" s="46" t="n"/>
      <c r="C182" s="46" t="n"/>
      <c r="D182" s="46" t="n"/>
      <c r="E182" s="49" t="n"/>
      <c r="F182" s="46" t="n"/>
      <c r="G182" s="41">
        <f>IF(A182="","",DATE(YEAR(A182),MONTH(A182),1))</f>
        <v/>
      </c>
      <c r="H182" s="46" t="n"/>
    </row>
    <row r="183" ht="14.25" customHeight="1" s="63">
      <c r="A183" s="48" t="n"/>
      <c r="B183" s="46" t="n"/>
      <c r="C183" s="46" t="n"/>
      <c r="D183" s="46" t="n"/>
      <c r="E183" s="49" t="n"/>
      <c r="F183" s="46" t="n"/>
      <c r="G183" s="41">
        <f>IF(A183="","",DATE(YEAR(A183),MONTH(A183),1))</f>
        <v/>
      </c>
      <c r="H183" s="46" t="n"/>
    </row>
    <row r="184" ht="14.25" customHeight="1" s="63">
      <c r="A184" s="48" t="n"/>
      <c r="B184" s="46" t="n"/>
      <c r="C184" s="46" t="n"/>
      <c r="D184" s="46" t="n"/>
      <c r="E184" s="49" t="n"/>
      <c r="F184" s="46" t="n"/>
      <c r="G184" s="41">
        <f>IF(A184="","",DATE(YEAR(A184),MONTH(A184),1))</f>
        <v/>
      </c>
      <c r="H184" s="46" t="n"/>
    </row>
    <row r="185" ht="14.25" customHeight="1" s="63">
      <c r="A185" s="48" t="n"/>
      <c r="B185" s="46" t="n"/>
      <c r="C185" s="46" t="n"/>
      <c r="D185" s="46" t="n"/>
      <c r="E185" s="49" t="n"/>
      <c r="F185" s="46" t="n"/>
      <c r="G185" s="41">
        <f>IF(A185="","",DATE(YEAR(A185),MONTH(A185),1))</f>
        <v/>
      </c>
      <c r="H185" s="46" t="n"/>
    </row>
    <row r="186" ht="14.25" customHeight="1" s="63">
      <c r="A186" s="48" t="n"/>
      <c r="B186" s="46" t="n"/>
      <c r="C186" s="46" t="n"/>
      <c r="D186" s="46" t="n"/>
      <c r="E186" s="49" t="n"/>
      <c r="F186" s="46" t="n"/>
      <c r="G186" s="41">
        <f>IF(A186="","",DATE(YEAR(A186),MONTH(A186),1))</f>
        <v/>
      </c>
      <c r="H186" s="46" t="n"/>
    </row>
    <row r="187" ht="14.25" customHeight="1" s="63">
      <c r="A187" s="48" t="n"/>
      <c r="B187" s="46" t="n"/>
      <c r="C187" s="46" t="n"/>
      <c r="D187" s="46" t="n"/>
      <c r="E187" s="49" t="n"/>
      <c r="F187" s="46" t="n"/>
      <c r="G187" s="41">
        <f>IF(A187="","",DATE(YEAR(A187),MONTH(A187),1))</f>
        <v/>
      </c>
      <c r="H187" s="46" t="n"/>
    </row>
    <row r="188" ht="14.25" customHeight="1" s="63">
      <c r="A188" s="48" t="n"/>
      <c r="B188" s="46" t="n"/>
      <c r="C188" s="46" t="n"/>
      <c r="D188" s="46" t="n"/>
      <c r="E188" s="49" t="n"/>
      <c r="F188" s="46" t="n"/>
      <c r="G188" s="41">
        <f>IF(A188="","",DATE(YEAR(A188),MONTH(A188),1))</f>
        <v/>
      </c>
      <c r="H188" s="46" t="n"/>
    </row>
    <row r="189" ht="14.25" customHeight="1" s="63">
      <c r="A189" s="48" t="n"/>
      <c r="B189" s="46" t="n"/>
      <c r="C189" s="46" t="n"/>
      <c r="D189" s="46" t="n"/>
      <c r="E189" s="49" t="n"/>
      <c r="F189" s="46" t="n"/>
      <c r="G189" s="41">
        <f>IF(A189="","",DATE(YEAR(A189),MONTH(A189),1))</f>
        <v/>
      </c>
      <c r="H189" s="46" t="n"/>
    </row>
    <row r="190" ht="14.25" customHeight="1" s="63">
      <c r="A190" s="48" t="n"/>
      <c r="B190" s="46" t="n"/>
      <c r="C190" s="46" t="n"/>
      <c r="D190" s="46" t="n"/>
      <c r="E190" s="49" t="n"/>
      <c r="F190" s="46" t="n"/>
      <c r="G190" s="41">
        <f>IF(A190="","",DATE(YEAR(A190),MONTH(A190),1))</f>
        <v/>
      </c>
      <c r="H190" s="46" t="n"/>
    </row>
    <row r="191" ht="14.25" customHeight="1" s="63">
      <c r="A191" s="48" t="n"/>
      <c r="B191" s="46" t="n"/>
      <c r="C191" s="46" t="n"/>
      <c r="D191" s="46" t="n"/>
      <c r="E191" s="49" t="n"/>
      <c r="F191" s="46" t="n"/>
      <c r="G191" s="41">
        <f>IF(A191="","",DATE(YEAR(A191),MONTH(A191),1))</f>
        <v/>
      </c>
      <c r="H191" s="46" t="n"/>
    </row>
    <row r="192" ht="14.25" customHeight="1" s="63">
      <c r="A192" s="48" t="n"/>
      <c r="B192" s="46" t="n"/>
      <c r="C192" s="46" t="n"/>
      <c r="D192" s="46" t="n"/>
      <c r="E192" s="49" t="n"/>
      <c r="F192" s="46" t="n"/>
      <c r="G192" s="41">
        <f>IF(A192="","",DATE(YEAR(A192),MONTH(A192),1))</f>
        <v/>
      </c>
      <c r="H192" s="46" t="n"/>
    </row>
    <row r="193" ht="14.25" customHeight="1" s="63">
      <c r="A193" s="48" t="n"/>
      <c r="B193" s="46" t="n"/>
      <c r="C193" s="46" t="n"/>
      <c r="D193" s="46" t="n"/>
      <c r="E193" s="49" t="n"/>
      <c r="F193" s="46" t="n"/>
      <c r="G193" s="41">
        <f>IF(A193="","",DATE(YEAR(A193),MONTH(A193),1))</f>
        <v/>
      </c>
      <c r="H193" s="46" t="n"/>
    </row>
    <row r="194" ht="14.25" customHeight="1" s="63">
      <c r="A194" s="48" t="n"/>
      <c r="B194" s="46" t="n"/>
      <c r="C194" s="46" t="n"/>
      <c r="D194" s="46" t="n"/>
      <c r="E194" s="49" t="n"/>
      <c r="F194" s="46" t="n"/>
      <c r="G194" s="41">
        <f>IF(A194="","",DATE(YEAR(A194),MONTH(A194),1))</f>
        <v/>
      </c>
      <c r="H194" s="46" t="n"/>
    </row>
    <row r="195" ht="14.25" customHeight="1" s="63">
      <c r="A195" s="48" t="n"/>
      <c r="B195" s="46" t="n"/>
      <c r="C195" s="46" t="n"/>
      <c r="D195" s="46" t="n"/>
      <c r="E195" s="49" t="n"/>
      <c r="F195" s="46" t="n"/>
      <c r="G195" s="41">
        <f>IF(A195="","",DATE(YEAR(A195),MONTH(A195),1))</f>
        <v/>
      </c>
      <c r="H195" s="46" t="n"/>
    </row>
    <row r="196" ht="14.25" customHeight="1" s="63">
      <c r="A196" s="48" t="n"/>
      <c r="B196" s="46" t="n"/>
      <c r="C196" s="46" t="n"/>
      <c r="D196" s="46" t="n"/>
      <c r="E196" s="49" t="n"/>
      <c r="F196" s="46" t="n"/>
      <c r="G196" s="41">
        <f>IF(A196="","",DATE(YEAR(A196),MONTH(A196),1))</f>
        <v/>
      </c>
      <c r="H196" s="46" t="n"/>
    </row>
    <row r="197" ht="14.25" customHeight="1" s="63">
      <c r="A197" s="48" t="n"/>
      <c r="B197" s="46" t="n"/>
      <c r="C197" s="46" t="n"/>
      <c r="D197" s="46" t="n"/>
      <c r="E197" s="49" t="n"/>
      <c r="F197" s="46" t="n"/>
      <c r="G197" s="41">
        <f>IF(A197="","",DATE(YEAR(A197),MONTH(A197),1))</f>
        <v/>
      </c>
      <c r="H197" s="46" t="n"/>
    </row>
    <row r="198" ht="14.25" customHeight="1" s="63">
      <c r="A198" s="48" t="n"/>
      <c r="B198" s="46" t="n"/>
      <c r="C198" s="46" t="n"/>
      <c r="D198" s="46" t="n"/>
      <c r="E198" s="49" t="n"/>
      <c r="F198" s="46" t="n"/>
      <c r="G198" s="41">
        <f>IF(A198="","",DATE(YEAR(A198),MONTH(A198),1))</f>
        <v/>
      </c>
      <c r="H198" s="46" t="n"/>
    </row>
    <row r="199" ht="14.25" customHeight="1" s="63">
      <c r="A199" s="48" t="n"/>
      <c r="B199" s="46" t="n"/>
      <c r="C199" s="46" t="n"/>
      <c r="D199" s="46" t="n"/>
      <c r="E199" s="49" t="n"/>
      <c r="F199" s="46" t="n"/>
      <c r="G199" s="41">
        <f>IF(A199="","",DATE(YEAR(A199),MONTH(A199),1))</f>
        <v/>
      </c>
      <c r="H199" s="46" t="n"/>
    </row>
    <row r="200" ht="14.25" customHeight="1" s="63">
      <c r="A200" s="48" t="n"/>
      <c r="B200" s="46" t="n"/>
      <c r="C200" s="46" t="n"/>
      <c r="D200" s="46" t="n"/>
      <c r="E200" s="49" t="n"/>
      <c r="F200" s="46" t="n"/>
      <c r="G200" s="41">
        <f>IF(A200="","",DATE(YEAR(A200),MONTH(A200),1))</f>
        <v/>
      </c>
      <c r="H200" s="46" t="n"/>
    </row>
    <row r="201" ht="14.25" customHeight="1" s="63">
      <c r="A201" s="48" t="n"/>
      <c r="B201" s="46" t="n"/>
      <c r="C201" s="46" t="n"/>
      <c r="D201" s="46" t="n"/>
      <c r="E201" s="49" t="n"/>
      <c r="F201" s="46" t="n"/>
      <c r="G201" s="41">
        <f>IF(A201="","",DATE(YEAR(A201),MONTH(A201),1))</f>
        <v/>
      </c>
      <c r="H201" s="46" t="n"/>
    </row>
    <row r="202" ht="14.25" customHeight="1" s="63">
      <c r="A202" s="48" t="n"/>
      <c r="B202" s="46" t="n"/>
      <c r="C202" s="46" t="n"/>
      <c r="D202" s="46" t="n"/>
      <c r="E202" s="49" t="n"/>
      <c r="F202" s="46" t="n"/>
      <c r="G202" s="41">
        <f>IF(A202="","",DATE(YEAR(A202),MONTH(A202),1))</f>
        <v/>
      </c>
      <c r="H202" s="46" t="n"/>
    </row>
    <row r="203" ht="14.25" customHeight="1" s="63">
      <c r="A203" s="48" t="n"/>
      <c r="B203" s="46" t="n"/>
      <c r="C203" s="46" t="n"/>
      <c r="D203" s="46" t="n"/>
      <c r="E203" s="49" t="n"/>
      <c r="F203" s="46" t="n"/>
      <c r="G203" s="41">
        <f>IF(A203="","",DATE(YEAR(A203),MONTH(A203),1))</f>
        <v/>
      </c>
      <c r="H203" s="46" t="n"/>
    </row>
    <row r="204" ht="14.25" customHeight="1" s="63">
      <c r="A204" s="48" t="n"/>
      <c r="B204" s="46" t="n"/>
      <c r="C204" s="46" t="n"/>
      <c r="D204" s="46" t="n"/>
      <c r="E204" s="49" t="n"/>
      <c r="F204" s="46" t="n"/>
      <c r="G204" s="41">
        <f>IF(A204="","",DATE(YEAR(A204),MONTH(A204),1))</f>
        <v/>
      </c>
      <c r="H204" s="46" t="n"/>
    </row>
    <row r="205" ht="14.25" customHeight="1" s="63">
      <c r="A205" s="48" t="n"/>
      <c r="B205" s="46" t="n"/>
      <c r="C205" s="46" t="n"/>
      <c r="D205" s="46" t="n"/>
      <c r="E205" s="49" t="n"/>
      <c r="F205" s="46" t="n"/>
      <c r="G205" s="41">
        <f>IF(A205="","",DATE(YEAR(A205),MONTH(A205),1))</f>
        <v/>
      </c>
      <c r="H205" s="46" t="n"/>
    </row>
    <row r="206" ht="14.25" customHeight="1" s="63">
      <c r="A206" s="48" t="n"/>
      <c r="B206" s="46" t="n"/>
      <c r="C206" s="46" t="n"/>
      <c r="D206" s="46" t="n"/>
      <c r="E206" s="49" t="n"/>
      <c r="F206" s="46" t="n"/>
      <c r="G206" s="41">
        <f>IF(A206="","",DATE(YEAR(A206),MONTH(A206),1))</f>
        <v/>
      </c>
      <c r="H206" s="46" t="n"/>
    </row>
    <row r="207" ht="14.25" customHeight="1" s="63">
      <c r="A207" s="48" t="n"/>
      <c r="B207" s="46" t="n"/>
      <c r="C207" s="46" t="n"/>
      <c r="D207" s="46" t="n"/>
      <c r="E207" s="49" t="n"/>
      <c r="F207" s="46" t="n"/>
      <c r="G207" s="41">
        <f>IF(A207="","",DATE(YEAR(A207),MONTH(A207),1))</f>
        <v/>
      </c>
      <c r="H207" s="46" t="n"/>
    </row>
    <row r="208" ht="14.25" customHeight="1" s="63">
      <c r="A208" s="48" t="n"/>
      <c r="B208" s="46" t="n"/>
      <c r="C208" s="46" t="n"/>
      <c r="D208" s="46" t="n"/>
      <c r="E208" s="49" t="n"/>
      <c r="F208" s="46" t="n"/>
      <c r="G208" s="41">
        <f>IF(A208="","",DATE(YEAR(A208),MONTH(A208),1))</f>
        <v/>
      </c>
      <c r="H208" s="46" t="n"/>
    </row>
    <row r="209" ht="14.25" customHeight="1" s="63">
      <c r="A209" s="48" t="n"/>
      <c r="B209" s="46" t="n"/>
      <c r="C209" s="46" t="n"/>
      <c r="D209" s="46" t="n"/>
      <c r="E209" s="49" t="n"/>
      <c r="F209" s="46" t="n"/>
      <c r="G209" s="41">
        <f>IF(A209="","",DATE(YEAR(A209),MONTH(A209),1))</f>
        <v/>
      </c>
      <c r="H209" s="46" t="n"/>
    </row>
    <row r="210" ht="14.25" customHeight="1" s="63">
      <c r="A210" s="48" t="n"/>
      <c r="B210" s="46" t="n"/>
      <c r="C210" s="46" t="n"/>
      <c r="D210" s="46" t="n"/>
      <c r="E210" s="49" t="n"/>
      <c r="F210" s="46" t="n"/>
      <c r="G210" s="41">
        <f>IF(A210="","",DATE(YEAR(A210),MONTH(A210),1))</f>
        <v/>
      </c>
      <c r="H210" s="46" t="n"/>
    </row>
    <row r="211" ht="14.25" customHeight="1" s="63">
      <c r="A211" s="48" t="n"/>
      <c r="B211" s="46" t="n"/>
      <c r="C211" s="46" t="n"/>
      <c r="D211" s="46" t="n"/>
      <c r="E211" s="49" t="n"/>
      <c r="F211" s="46" t="n"/>
      <c r="G211" s="41">
        <f>IF(A211="","",DATE(YEAR(A211),MONTH(A211),1))</f>
        <v/>
      </c>
      <c r="H211" s="46" t="n"/>
    </row>
    <row r="212" ht="14.25" customHeight="1" s="63">
      <c r="A212" s="48" t="n"/>
      <c r="B212" s="46" t="n"/>
      <c r="C212" s="46" t="n"/>
      <c r="D212" s="46" t="n"/>
      <c r="E212" s="49" t="n"/>
      <c r="F212" s="46" t="n"/>
      <c r="G212" s="41">
        <f>IF(A212="","",DATE(YEAR(A212),MONTH(A212),1))</f>
        <v/>
      </c>
      <c r="H212" s="46" t="n"/>
    </row>
    <row r="213" ht="14.25" customHeight="1" s="63">
      <c r="A213" s="48" t="n"/>
      <c r="B213" s="46" t="n"/>
      <c r="C213" s="46" t="n"/>
      <c r="D213" s="46" t="n"/>
      <c r="E213" s="49" t="n"/>
      <c r="F213" s="46" t="n"/>
      <c r="G213" s="41">
        <f>IF(A213="","",DATE(YEAR(A213),MONTH(A213),1))</f>
        <v/>
      </c>
      <c r="H213" s="46" t="n"/>
    </row>
    <row r="214" ht="14.25" customHeight="1" s="63">
      <c r="A214" s="48" t="n"/>
      <c r="B214" s="46" t="n"/>
      <c r="C214" s="46" t="n"/>
      <c r="D214" s="46" t="n"/>
      <c r="E214" s="49" t="n"/>
      <c r="F214" s="46" t="n"/>
      <c r="G214" s="41">
        <f>IF(A214="","",DATE(YEAR(A214),MONTH(A214),1))</f>
        <v/>
      </c>
      <c r="H214" s="46" t="n"/>
    </row>
    <row r="215" ht="14.25" customHeight="1" s="63">
      <c r="A215" s="48" t="n"/>
      <c r="B215" s="46" t="n"/>
      <c r="C215" s="46" t="n"/>
      <c r="D215" s="46" t="n"/>
      <c r="E215" s="49" t="n"/>
      <c r="F215" s="46" t="n"/>
      <c r="G215" s="41">
        <f>IF(A215="","",DATE(YEAR(A215),MONTH(A215),1))</f>
        <v/>
      </c>
      <c r="H215" s="46" t="n"/>
    </row>
    <row r="216" ht="14.25" customHeight="1" s="63">
      <c r="A216" s="48" t="n"/>
      <c r="B216" s="46" t="n"/>
      <c r="C216" s="46" t="n"/>
      <c r="D216" s="46" t="n"/>
      <c r="E216" s="49" t="n"/>
      <c r="F216" s="46" t="n"/>
      <c r="G216" s="41">
        <f>IF(A216="","",DATE(YEAR(A216),MONTH(A216),1))</f>
        <v/>
      </c>
      <c r="H216" s="46" t="n"/>
    </row>
    <row r="217" ht="14.25" customHeight="1" s="63">
      <c r="A217" s="48" t="n"/>
      <c r="B217" s="46" t="n"/>
      <c r="C217" s="46" t="n"/>
      <c r="D217" s="46" t="n"/>
      <c r="E217" s="49" t="n"/>
      <c r="F217" s="46" t="n"/>
      <c r="G217" s="41">
        <f>IF(A217="","",DATE(YEAR(A217),MONTH(A217),1))</f>
        <v/>
      </c>
      <c r="H217" s="46" t="n"/>
    </row>
    <row r="218" ht="14.25" customHeight="1" s="63">
      <c r="A218" s="48" t="n"/>
      <c r="B218" s="46" t="n"/>
      <c r="C218" s="46" t="n"/>
      <c r="D218" s="46" t="n"/>
      <c r="E218" s="49" t="n"/>
      <c r="F218" s="46" t="n"/>
      <c r="G218" s="41">
        <f>IF(A218="","",DATE(YEAR(A218),MONTH(A218),1))</f>
        <v/>
      </c>
      <c r="H218" s="46" t="n"/>
    </row>
    <row r="219" ht="14.25" customHeight="1" s="63">
      <c r="A219" s="48" t="n"/>
      <c r="B219" s="46" t="n"/>
      <c r="C219" s="46" t="n"/>
      <c r="D219" s="46" t="n"/>
      <c r="E219" s="49" t="n"/>
      <c r="F219" s="46" t="n"/>
      <c r="G219" s="41">
        <f>IF(A219="","",DATE(YEAR(A219),MONTH(A219),1))</f>
        <v/>
      </c>
      <c r="H219" s="46" t="n"/>
    </row>
    <row r="220" ht="14.25" customHeight="1" s="63">
      <c r="A220" s="48" t="n"/>
      <c r="B220" s="46" t="n"/>
      <c r="C220" s="46" t="n"/>
      <c r="D220" s="46" t="n"/>
      <c r="E220" s="49" t="n"/>
      <c r="F220" s="46" t="n"/>
      <c r="G220" s="41">
        <f>IF(A220="","",DATE(YEAR(A220),MONTH(A220),1))</f>
        <v/>
      </c>
      <c r="H220" s="46" t="n"/>
    </row>
    <row r="221" ht="14.25" customHeight="1" s="63">
      <c r="A221" s="48" t="n"/>
      <c r="B221" s="46" t="n"/>
      <c r="C221" s="46" t="n"/>
      <c r="D221" s="46" t="n"/>
      <c r="E221" s="49" t="n"/>
      <c r="F221" s="46" t="n"/>
      <c r="G221" s="41">
        <f>IF(A221="","",DATE(YEAR(A221),MONTH(A221),1))</f>
        <v/>
      </c>
      <c r="H221" s="46" t="n"/>
    </row>
    <row r="222" ht="14.25" customHeight="1" s="63">
      <c r="A222" s="48" t="n"/>
      <c r="B222" s="46" t="n"/>
      <c r="C222" s="46" t="n"/>
      <c r="D222" s="46" t="n"/>
      <c r="E222" s="49" t="n"/>
      <c r="F222" s="46" t="n"/>
      <c r="G222" s="41">
        <f>IF(A222="","",DATE(YEAR(A222),MONTH(A222),1))</f>
        <v/>
      </c>
      <c r="H222" s="46" t="n"/>
    </row>
    <row r="223" ht="14.25" customHeight="1" s="63">
      <c r="A223" s="48" t="n"/>
      <c r="B223" s="46" t="n"/>
      <c r="C223" s="46" t="n"/>
      <c r="D223" s="46" t="n"/>
      <c r="E223" s="49" t="n"/>
      <c r="F223" s="46" t="n"/>
      <c r="G223" s="41">
        <f>IF(A223="","",DATE(YEAR(A223),MONTH(A223),1))</f>
        <v/>
      </c>
      <c r="H223" s="46" t="n"/>
    </row>
    <row r="224" ht="14.25" customHeight="1" s="63">
      <c r="A224" s="48" t="n"/>
      <c r="B224" s="46" t="n"/>
      <c r="C224" s="46" t="n"/>
      <c r="D224" s="46" t="n"/>
      <c r="E224" s="49" t="n"/>
      <c r="F224" s="46" t="n"/>
      <c r="G224" s="41">
        <f>IF(A224="","",DATE(YEAR(A224),MONTH(A224),1))</f>
        <v/>
      </c>
      <c r="H224" s="46" t="n"/>
    </row>
    <row r="225" ht="14.25" customHeight="1" s="63">
      <c r="A225" s="48" t="n"/>
      <c r="B225" s="46" t="n"/>
      <c r="C225" s="46" t="n"/>
      <c r="D225" s="46" t="n"/>
      <c r="E225" s="49" t="n"/>
      <c r="F225" s="46" t="n"/>
      <c r="G225" s="41">
        <f>IF(A225="","",DATE(YEAR(A225),MONTH(A225),1))</f>
        <v/>
      </c>
      <c r="H225" s="46" t="n"/>
    </row>
    <row r="226" ht="14.25" customHeight="1" s="63">
      <c r="A226" s="48" t="n"/>
      <c r="B226" s="46" t="n"/>
      <c r="C226" s="46" t="n"/>
      <c r="D226" s="46" t="n"/>
      <c r="E226" s="49" t="n"/>
      <c r="F226" s="46" t="n"/>
      <c r="G226" s="41">
        <f>IF(A226="","",DATE(YEAR(A226),MONTH(A226),1))</f>
        <v/>
      </c>
      <c r="H226" s="46" t="n"/>
    </row>
    <row r="227" ht="14.25" customHeight="1" s="63">
      <c r="A227" s="48" t="n"/>
      <c r="B227" s="46" t="n"/>
      <c r="C227" s="46" t="n"/>
      <c r="D227" s="46" t="n"/>
      <c r="E227" s="49" t="n"/>
      <c r="F227" s="46" t="n"/>
      <c r="G227" s="41">
        <f>IF(A227="","",DATE(YEAR(A227),MONTH(A227),1))</f>
        <v/>
      </c>
      <c r="H227" s="46" t="n"/>
    </row>
    <row r="228" ht="14.25" customHeight="1" s="63">
      <c r="A228" s="48" t="n"/>
      <c r="B228" s="46" t="n"/>
      <c r="C228" s="46" t="n"/>
      <c r="D228" s="46" t="n"/>
      <c r="E228" s="49" t="n"/>
      <c r="F228" s="46" t="n"/>
      <c r="G228" s="41">
        <f>IF(A228="","",DATE(YEAR(A228),MONTH(A228),1))</f>
        <v/>
      </c>
      <c r="H228" s="46" t="n"/>
    </row>
    <row r="229" ht="14.25" customHeight="1" s="63">
      <c r="A229" s="48" t="n"/>
      <c r="B229" s="46" t="n"/>
      <c r="C229" s="46" t="n"/>
      <c r="D229" s="46" t="n"/>
      <c r="E229" s="49" t="n"/>
      <c r="F229" s="46" t="n"/>
      <c r="G229" s="41">
        <f>IF(A229="","",DATE(YEAR(A229),MONTH(A229),1))</f>
        <v/>
      </c>
      <c r="H229" s="46" t="n"/>
    </row>
    <row r="230" ht="14.25" customHeight="1" s="63">
      <c r="A230" s="48" t="n"/>
      <c r="B230" s="46" t="n"/>
      <c r="C230" s="46" t="n"/>
      <c r="D230" s="46" t="n"/>
      <c r="E230" s="49" t="n"/>
      <c r="F230" s="46" t="n"/>
      <c r="G230" s="41">
        <f>IF(A230="","",DATE(YEAR(A230),MONTH(A230),1))</f>
        <v/>
      </c>
      <c r="H230" s="46" t="n"/>
    </row>
    <row r="231" ht="14.25" customHeight="1" s="63">
      <c r="A231" s="48" t="n"/>
      <c r="B231" s="46" t="n"/>
      <c r="C231" s="46" t="n"/>
      <c r="D231" s="46" t="n"/>
      <c r="E231" s="49" t="n"/>
      <c r="F231" s="46" t="n"/>
      <c r="G231" s="41">
        <f>IF(A231="","",DATE(YEAR(A231),MONTH(A231),1))</f>
        <v/>
      </c>
      <c r="H231" s="46" t="n"/>
    </row>
    <row r="232" ht="14.25" customHeight="1" s="63">
      <c r="A232" s="48" t="n"/>
      <c r="B232" s="46" t="n"/>
      <c r="C232" s="46" t="n"/>
      <c r="D232" s="46" t="n"/>
      <c r="E232" s="49" t="n"/>
      <c r="F232" s="46" t="n"/>
      <c r="G232" s="41">
        <f>IF(A232="","",DATE(YEAR(A232),MONTH(A232),1))</f>
        <v/>
      </c>
      <c r="H232" s="46" t="n"/>
    </row>
    <row r="233" ht="14.25" customHeight="1" s="63">
      <c r="A233" s="48" t="n"/>
      <c r="B233" s="46" t="n"/>
      <c r="C233" s="46" t="n"/>
      <c r="D233" s="46" t="n"/>
      <c r="E233" s="49" t="n"/>
      <c r="F233" s="46" t="n"/>
      <c r="G233" s="41">
        <f>IF(A233="","",DATE(YEAR(A233),MONTH(A233),1))</f>
        <v/>
      </c>
      <c r="H233" s="46" t="n"/>
    </row>
    <row r="234" ht="14.25" customHeight="1" s="63">
      <c r="A234" s="48" t="n"/>
      <c r="B234" s="46" t="n"/>
      <c r="C234" s="46" t="n"/>
      <c r="D234" s="46" t="n"/>
      <c r="E234" s="49" t="n"/>
      <c r="F234" s="46" t="n"/>
      <c r="G234" s="41">
        <f>IF(A234="","",DATE(YEAR(A234),MONTH(A234),1))</f>
        <v/>
      </c>
      <c r="H234" s="46" t="n"/>
    </row>
    <row r="235" ht="14.25" customHeight="1" s="63">
      <c r="A235" s="48" t="n"/>
      <c r="B235" s="46" t="n"/>
      <c r="C235" s="46" t="n"/>
      <c r="D235" s="46" t="n"/>
      <c r="E235" s="49" t="n"/>
      <c r="F235" s="46" t="n"/>
      <c r="G235" s="41">
        <f>IF(A235="","",DATE(YEAR(A235),MONTH(A235),1))</f>
        <v/>
      </c>
      <c r="H235" s="46" t="n"/>
    </row>
    <row r="236" ht="14.25" customHeight="1" s="63">
      <c r="A236" s="48" t="n"/>
      <c r="B236" s="46" t="n"/>
      <c r="C236" s="46" t="n"/>
      <c r="D236" s="46" t="n"/>
      <c r="E236" s="49" t="n"/>
      <c r="F236" s="46" t="n"/>
      <c r="G236" s="41">
        <f>IF(A236="","",DATE(YEAR(A236),MONTH(A236),1))</f>
        <v/>
      </c>
      <c r="H236" s="46" t="n"/>
    </row>
    <row r="237" ht="14.25" customHeight="1" s="63">
      <c r="A237" s="48" t="n"/>
      <c r="B237" s="46" t="n"/>
      <c r="C237" s="46" t="n"/>
      <c r="D237" s="46" t="n"/>
      <c r="E237" s="49" t="n"/>
      <c r="F237" s="46" t="n"/>
      <c r="G237" s="41">
        <f>IF(A237="","",DATE(YEAR(A237),MONTH(A237),1))</f>
        <v/>
      </c>
      <c r="H237" s="46" t="n"/>
    </row>
    <row r="238" ht="14.25" customHeight="1" s="63">
      <c r="A238" s="48" t="n"/>
      <c r="B238" s="46" t="n"/>
      <c r="C238" s="46" t="n"/>
      <c r="D238" s="46" t="n"/>
      <c r="E238" s="49" t="n"/>
      <c r="F238" s="46" t="n"/>
      <c r="G238" s="41">
        <f>IF(A238="","",DATE(YEAR(A238),MONTH(A238),1))</f>
        <v/>
      </c>
      <c r="H238" s="46" t="n"/>
    </row>
    <row r="239" ht="14.25" customHeight="1" s="63">
      <c r="A239" s="48" t="n"/>
      <c r="B239" s="46" t="n"/>
      <c r="C239" s="46" t="n"/>
      <c r="D239" s="46" t="n"/>
      <c r="E239" s="49" t="n"/>
      <c r="F239" s="46" t="n"/>
      <c r="G239" s="41">
        <f>IF(A239="","",DATE(YEAR(A239),MONTH(A239),1))</f>
        <v/>
      </c>
      <c r="H239" s="46" t="n"/>
    </row>
    <row r="240" ht="14.25" customHeight="1" s="63">
      <c r="A240" s="48" t="n"/>
      <c r="B240" s="46" t="n"/>
      <c r="C240" s="46" t="n"/>
      <c r="D240" s="46" t="n"/>
      <c r="E240" s="49" t="n"/>
      <c r="F240" s="46" t="n"/>
      <c r="G240" s="41">
        <f>IF(A240="","",DATE(YEAR(A240),MONTH(A240),1))</f>
        <v/>
      </c>
      <c r="H240" s="46" t="n"/>
    </row>
    <row r="241" ht="14.25" customHeight="1" s="63">
      <c r="A241" s="48" t="n"/>
      <c r="B241" s="46" t="n"/>
      <c r="C241" s="46" t="n"/>
      <c r="D241" s="46" t="n"/>
      <c r="E241" s="49" t="n"/>
      <c r="F241" s="46" t="n"/>
      <c r="G241" s="41">
        <f>IF(A241="","",DATE(YEAR(A241),MONTH(A241),1))</f>
        <v/>
      </c>
      <c r="H241" s="46" t="n"/>
    </row>
    <row r="242" ht="14.25" customHeight="1" s="63">
      <c r="A242" s="48" t="n"/>
      <c r="B242" s="46" t="n"/>
      <c r="C242" s="46" t="n"/>
      <c r="D242" s="46" t="n"/>
      <c r="E242" s="49" t="n"/>
      <c r="F242" s="46" t="n"/>
      <c r="G242" s="41">
        <f>IF(A242="","",DATE(YEAR(A242),MONTH(A242),1))</f>
        <v/>
      </c>
      <c r="H242" s="46" t="n"/>
    </row>
    <row r="243" ht="14.25" customHeight="1" s="63">
      <c r="A243" s="48" t="n"/>
      <c r="B243" s="46" t="n"/>
      <c r="C243" s="46" t="n"/>
      <c r="D243" s="46" t="n"/>
      <c r="E243" s="49" t="n"/>
      <c r="F243" s="46" t="n"/>
      <c r="G243" s="41">
        <f>IF(A243="","",DATE(YEAR(A243),MONTH(A243),1))</f>
        <v/>
      </c>
      <c r="H243" s="46" t="n"/>
    </row>
    <row r="244" ht="14.25" customHeight="1" s="63">
      <c r="A244" s="48" t="n"/>
      <c r="B244" s="46" t="n"/>
      <c r="C244" s="46" t="n"/>
      <c r="D244" s="46" t="n"/>
      <c r="E244" s="49" t="n"/>
      <c r="F244" s="46" t="n"/>
      <c r="G244" s="41">
        <f>IF(A244="","",DATE(YEAR(A244),MONTH(A244),1))</f>
        <v/>
      </c>
      <c r="H244" s="46" t="n"/>
    </row>
    <row r="245" ht="14.25" customHeight="1" s="63">
      <c r="A245" s="48" t="n"/>
      <c r="B245" s="46" t="n"/>
      <c r="C245" s="46" t="n"/>
      <c r="D245" s="46" t="n"/>
      <c r="E245" s="49" t="n"/>
      <c r="F245" s="46" t="n"/>
      <c r="G245" s="41">
        <f>IF(A245="","",DATE(YEAR(A245),MONTH(A245),1))</f>
        <v/>
      </c>
      <c r="H245" s="46" t="n"/>
    </row>
    <row r="246" ht="14.25" customHeight="1" s="63">
      <c r="A246" s="48" t="n"/>
      <c r="B246" s="46" t="n"/>
      <c r="C246" s="46" t="n"/>
      <c r="D246" s="46" t="n"/>
      <c r="E246" s="49" t="n"/>
      <c r="F246" s="46" t="n"/>
      <c r="G246" s="41">
        <f>IF(A246="","",DATE(YEAR(A246),MONTH(A246),1))</f>
        <v/>
      </c>
      <c r="H246" s="46" t="n"/>
    </row>
    <row r="247" ht="14.25" customHeight="1" s="63">
      <c r="A247" s="48" t="n"/>
      <c r="B247" s="46" t="n"/>
      <c r="C247" s="46" t="n"/>
      <c r="D247" s="46" t="n"/>
      <c r="E247" s="49" t="n"/>
      <c r="F247" s="46" t="n"/>
      <c r="G247" s="41">
        <f>IF(A247="","",DATE(YEAR(A247),MONTH(A247),1))</f>
        <v/>
      </c>
      <c r="H247" s="46" t="n"/>
    </row>
    <row r="248" ht="14.25" customHeight="1" s="63">
      <c r="A248" s="48" t="n"/>
      <c r="B248" s="46" t="n"/>
      <c r="C248" s="46" t="n"/>
      <c r="D248" s="46" t="n"/>
      <c r="E248" s="49" t="n"/>
      <c r="F248" s="46" t="n"/>
      <c r="G248" s="41">
        <f>IF(A248="","",DATE(YEAR(A248),MONTH(A248),1))</f>
        <v/>
      </c>
      <c r="H248" s="46" t="n"/>
    </row>
    <row r="249" ht="14.25" customHeight="1" s="63">
      <c r="A249" s="48" t="n"/>
      <c r="B249" s="46" t="n"/>
      <c r="C249" s="46" t="n"/>
      <c r="D249" s="46" t="n"/>
      <c r="E249" s="49" t="n"/>
      <c r="F249" s="46" t="n"/>
      <c r="G249" s="41">
        <f>IF(A249="","",DATE(YEAR(A249),MONTH(A249),1))</f>
        <v/>
      </c>
      <c r="H249" s="46" t="n"/>
    </row>
    <row r="250" ht="14.25" customHeight="1" s="63">
      <c r="A250" s="48" t="n"/>
      <c r="B250" s="46" t="n"/>
      <c r="C250" s="46" t="n"/>
      <c r="D250" s="46" t="n"/>
      <c r="E250" s="49" t="n"/>
      <c r="F250" s="46" t="n"/>
      <c r="G250" s="41">
        <f>IF(A250="","",DATE(YEAR(A250),MONTH(A250),1))</f>
        <v/>
      </c>
      <c r="H250" s="46" t="n"/>
    </row>
    <row r="251" ht="14.25" customHeight="1" s="63">
      <c r="A251" s="48" t="n"/>
      <c r="B251" s="46" t="n"/>
      <c r="C251" s="46" t="n"/>
      <c r="D251" s="46" t="n"/>
      <c r="E251" s="49" t="n"/>
      <c r="F251" s="46" t="n"/>
      <c r="G251" s="41">
        <f>IF(A251="","",DATE(YEAR(A251),MONTH(A251),1))</f>
        <v/>
      </c>
      <c r="H251" s="46" t="n"/>
    </row>
    <row r="252" ht="14.25" customHeight="1" s="63">
      <c r="A252" s="48" t="n"/>
      <c r="B252" s="46" t="n"/>
      <c r="C252" s="46" t="n"/>
      <c r="D252" s="46" t="n"/>
      <c r="E252" s="49" t="n"/>
      <c r="F252" s="46" t="n"/>
      <c r="G252" s="41">
        <f>IF(A252="","",DATE(YEAR(A252),MONTH(A252),1))</f>
        <v/>
      </c>
      <c r="H252" s="46" t="n"/>
    </row>
    <row r="253" ht="14.25" customHeight="1" s="63">
      <c r="A253" s="48" t="n"/>
      <c r="B253" s="46" t="n"/>
      <c r="C253" s="46" t="n"/>
      <c r="D253" s="46" t="n"/>
      <c r="E253" s="49" t="n"/>
      <c r="F253" s="46" t="n"/>
      <c r="G253" s="41">
        <f>IF(A253="","",DATE(YEAR(A253),MONTH(A253),1))</f>
        <v/>
      </c>
      <c r="H253" s="46" t="n"/>
    </row>
    <row r="254" ht="14.25" customHeight="1" s="63">
      <c r="A254" s="48" t="n"/>
      <c r="B254" s="46" t="n"/>
      <c r="C254" s="46" t="n"/>
      <c r="D254" s="46" t="n"/>
      <c r="E254" s="49" t="n"/>
      <c r="F254" s="46" t="n"/>
      <c r="G254" s="41">
        <f>IF(A254="","",DATE(YEAR(A254),MONTH(A254),1))</f>
        <v/>
      </c>
      <c r="H254" s="46" t="n"/>
    </row>
    <row r="255" ht="14.25" customHeight="1" s="63">
      <c r="A255" s="48" t="n"/>
      <c r="B255" s="46" t="n"/>
      <c r="C255" s="46" t="n"/>
      <c r="D255" s="46" t="n"/>
      <c r="E255" s="49" t="n"/>
      <c r="F255" s="46" t="n"/>
      <c r="G255" s="41">
        <f>IF(A255="","",DATE(YEAR(A255),MONTH(A255),1))</f>
        <v/>
      </c>
      <c r="H255" s="46" t="n"/>
    </row>
    <row r="256" ht="14.25" customHeight="1" s="63">
      <c r="A256" s="48" t="n"/>
      <c r="B256" s="46" t="n"/>
      <c r="C256" s="46" t="n"/>
      <c r="D256" s="46" t="n"/>
      <c r="E256" s="49" t="n"/>
      <c r="F256" s="46" t="n"/>
      <c r="G256" s="41">
        <f>IF(A256="","",DATE(YEAR(A256),MONTH(A256),1))</f>
        <v/>
      </c>
      <c r="H256" s="46" t="n"/>
    </row>
    <row r="257" ht="14.25" customHeight="1" s="63">
      <c r="A257" s="48" t="n"/>
      <c r="B257" s="46" t="n"/>
      <c r="C257" s="46" t="n"/>
      <c r="D257" s="46" t="n"/>
      <c r="E257" s="49" t="n"/>
      <c r="F257" s="46" t="n"/>
      <c r="G257" s="41">
        <f>IF(A257="","",DATE(YEAR(A257),MONTH(A257),1))</f>
        <v/>
      </c>
      <c r="H257" s="46" t="n"/>
    </row>
    <row r="258" ht="14.25" customHeight="1" s="63">
      <c r="A258" s="48" t="n"/>
      <c r="B258" s="46" t="n"/>
      <c r="C258" s="46" t="n"/>
      <c r="D258" s="46" t="n"/>
      <c r="E258" s="49" t="n"/>
      <c r="F258" s="46" t="n"/>
      <c r="G258" s="41">
        <f>IF(A258="","",DATE(YEAR(A258),MONTH(A258),1))</f>
        <v/>
      </c>
      <c r="H258" s="46" t="n"/>
    </row>
    <row r="259" ht="14.25" customHeight="1" s="63">
      <c r="A259" s="48" t="n"/>
      <c r="B259" s="46" t="n"/>
      <c r="C259" s="46" t="n"/>
      <c r="D259" s="46" t="n"/>
      <c r="E259" s="49" t="n"/>
      <c r="F259" s="46" t="n"/>
      <c r="G259" s="41">
        <f>IF(A259="","",DATE(YEAR(A259),MONTH(A259),1))</f>
        <v/>
      </c>
      <c r="H259" s="46" t="n"/>
    </row>
    <row r="260" ht="14.25" customHeight="1" s="63">
      <c r="A260" s="48" t="n"/>
      <c r="B260" s="46" t="n"/>
      <c r="C260" s="46" t="n"/>
      <c r="D260" s="46" t="n"/>
      <c r="E260" s="49" t="n"/>
      <c r="F260" s="46" t="n"/>
      <c r="G260" s="41">
        <f>IF(A260="","",DATE(YEAR(A260),MONTH(A260),1))</f>
        <v/>
      </c>
      <c r="H260" s="46" t="n"/>
    </row>
    <row r="261" ht="14.25" customHeight="1" s="63">
      <c r="A261" s="48" t="n"/>
      <c r="B261" s="46" t="n"/>
      <c r="C261" s="46" t="n"/>
      <c r="D261" s="46" t="n"/>
      <c r="E261" s="49" t="n"/>
      <c r="F261" s="46" t="n"/>
      <c r="G261" s="41">
        <f>IF(A261="","",DATE(YEAR(A261),MONTH(A261),1))</f>
        <v/>
      </c>
      <c r="H261" s="46" t="n"/>
    </row>
    <row r="262" ht="14.25" customHeight="1" s="63">
      <c r="A262" s="48" t="n"/>
      <c r="B262" s="46" t="n"/>
      <c r="C262" s="46" t="n"/>
      <c r="D262" s="46" t="n"/>
      <c r="E262" s="49" t="n"/>
      <c r="F262" s="46" t="n"/>
      <c r="G262" s="41">
        <f>IF(A262="","",DATE(YEAR(A262),MONTH(A262),1))</f>
        <v/>
      </c>
      <c r="H262" s="46" t="n"/>
    </row>
    <row r="263" ht="14.25" customHeight="1" s="63">
      <c r="A263" s="48" t="n"/>
      <c r="B263" s="46" t="n"/>
      <c r="C263" s="46" t="n"/>
      <c r="D263" s="46" t="n"/>
      <c r="E263" s="49" t="n"/>
      <c r="F263" s="46" t="n"/>
      <c r="G263" s="41">
        <f>IF(A263="","",DATE(YEAR(A263),MONTH(A263),1))</f>
        <v/>
      </c>
      <c r="H263" s="46" t="n"/>
    </row>
    <row r="264" ht="14.25" customHeight="1" s="63">
      <c r="A264" s="48" t="n"/>
      <c r="B264" s="46" t="n"/>
      <c r="C264" s="46" t="n"/>
      <c r="D264" s="46" t="n"/>
      <c r="E264" s="49" t="n"/>
      <c r="F264" s="46" t="n"/>
      <c r="G264" s="41">
        <f>IF(A264="","",DATE(YEAR(A264),MONTH(A264),1))</f>
        <v/>
      </c>
      <c r="H264" s="46" t="n"/>
    </row>
    <row r="265" ht="14.25" customHeight="1" s="63">
      <c r="A265" s="48" t="n"/>
      <c r="B265" s="46" t="n"/>
      <c r="C265" s="46" t="n"/>
      <c r="D265" s="46" t="n"/>
      <c r="E265" s="49" t="n"/>
      <c r="F265" s="46" t="n"/>
      <c r="G265" s="41">
        <f>IF(A265="","",DATE(YEAR(A265),MONTH(A265),1))</f>
        <v/>
      </c>
      <c r="H265" s="46" t="n"/>
    </row>
    <row r="266" ht="14.25" customHeight="1" s="63">
      <c r="A266" s="48" t="n"/>
      <c r="B266" s="46" t="n"/>
      <c r="C266" s="46" t="n"/>
      <c r="D266" s="46" t="n"/>
      <c r="E266" s="49" t="n"/>
      <c r="F266" s="46" t="n"/>
      <c r="G266" s="41">
        <f>IF(A266="","",DATE(YEAR(A266),MONTH(A266),1))</f>
        <v/>
      </c>
      <c r="H266" s="46" t="n"/>
    </row>
    <row r="267" ht="14.25" customHeight="1" s="63">
      <c r="A267" s="48" t="n"/>
      <c r="B267" s="46" t="n"/>
      <c r="C267" s="46" t="n"/>
      <c r="D267" s="46" t="n"/>
      <c r="E267" s="49" t="n"/>
      <c r="F267" s="46" t="n"/>
      <c r="G267" s="41">
        <f>IF(A267="","",DATE(YEAR(A267),MONTH(A267),1))</f>
        <v/>
      </c>
      <c r="H267" s="46" t="n"/>
    </row>
    <row r="268" ht="14.25" customHeight="1" s="63">
      <c r="A268" s="48" t="n"/>
      <c r="B268" s="46" t="n"/>
      <c r="C268" s="46" t="n"/>
      <c r="D268" s="46" t="n"/>
      <c r="E268" s="49" t="n"/>
      <c r="F268" s="46" t="n"/>
      <c r="G268" s="41">
        <f>IF(A268="","",DATE(YEAR(A268),MONTH(A268),1))</f>
        <v/>
      </c>
      <c r="H268" s="46" t="n"/>
    </row>
    <row r="269" ht="14.25" customHeight="1" s="63">
      <c r="A269" s="48" t="n"/>
      <c r="B269" s="46" t="n"/>
      <c r="C269" s="46" t="n"/>
      <c r="D269" s="46" t="n"/>
      <c r="E269" s="49" t="n"/>
      <c r="F269" s="46" t="n"/>
      <c r="G269" s="41">
        <f>IF(A269="","",DATE(YEAR(A269),MONTH(A269),1))</f>
        <v/>
      </c>
      <c r="H269" s="46" t="n"/>
    </row>
    <row r="270" ht="14.25" customHeight="1" s="63">
      <c r="A270" s="48" t="n"/>
      <c r="B270" s="46" t="n"/>
      <c r="C270" s="46" t="n"/>
      <c r="D270" s="46" t="n"/>
      <c r="E270" s="49" t="n"/>
      <c r="F270" s="46" t="n"/>
      <c r="G270" s="41">
        <f>IF(A270="","",DATE(YEAR(A270),MONTH(A270),1))</f>
        <v/>
      </c>
      <c r="H270" s="46" t="n"/>
    </row>
    <row r="271" ht="14.25" customHeight="1" s="63">
      <c r="A271" s="48" t="n"/>
      <c r="B271" s="46" t="n"/>
      <c r="C271" s="46" t="n"/>
      <c r="D271" s="46" t="n"/>
      <c r="E271" s="49" t="n"/>
      <c r="F271" s="46" t="n"/>
      <c r="G271" s="41">
        <f>IF(A271="","",DATE(YEAR(A271),MONTH(A271),1))</f>
        <v/>
      </c>
      <c r="H271" s="46" t="n"/>
    </row>
    <row r="272" ht="14.25" customHeight="1" s="63">
      <c r="A272" s="48" t="n"/>
      <c r="B272" s="46" t="n"/>
      <c r="C272" s="46" t="n"/>
      <c r="D272" s="46" t="n"/>
      <c r="E272" s="49" t="n"/>
      <c r="F272" s="46" t="n"/>
      <c r="G272" s="41">
        <f>IF(A272="","",DATE(YEAR(A272),MONTH(A272),1))</f>
        <v/>
      </c>
      <c r="H272" s="46" t="n"/>
    </row>
    <row r="273" ht="14.25" customHeight="1" s="63">
      <c r="A273" s="48" t="n"/>
      <c r="B273" s="46" t="n"/>
      <c r="C273" s="46" t="n"/>
      <c r="D273" s="46" t="n"/>
      <c r="E273" s="49" t="n"/>
      <c r="F273" s="46" t="n"/>
      <c r="G273" s="41">
        <f>IF(A273="","",DATE(YEAR(A273),MONTH(A273),1))</f>
        <v/>
      </c>
      <c r="H273" s="46" t="n"/>
    </row>
    <row r="274" ht="14.25" customHeight="1" s="63">
      <c r="A274" s="48" t="n"/>
      <c r="B274" s="46" t="n"/>
      <c r="C274" s="46" t="n"/>
      <c r="D274" s="46" t="n"/>
      <c r="E274" s="49" t="n"/>
      <c r="F274" s="46" t="n"/>
      <c r="G274" s="41">
        <f>IF(A274="","",DATE(YEAR(A274),MONTH(A274),1))</f>
        <v/>
      </c>
      <c r="H274" s="46" t="n"/>
    </row>
    <row r="275" ht="14.25" customHeight="1" s="63">
      <c r="A275" s="48" t="n"/>
      <c r="B275" s="46" t="n"/>
      <c r="C275" s="46" t="n"/>
      <c r="D275" s="46" t="n"/>
      <c r="E275" s="49" t="n"/>
      <c r="F275" s="46" t="n"/>
      <c r="G275" s="41">
        <f>IF(A275="","",DATE(YEAR(A275),MONTH(A275),1))</f>
        <v/>
      </c>
      <c r="H275" s="46" t="n"/>
    </row>
    <row r="276" ht="14.25" customHeight="1" s="63">
      <c r="A276" s="48" t="n"/>
      <c r="B276" s="46" t="n"/>
      <c r="C276" s="46" t="n"/>
      <c r="D276" s="46" t="n"/>
      <c r="E276" s="49" t="n"/>
      <c r="F276" s="46" t="n"/>
      <c r="G276" s="41">
        <f>IF(A276="","",DATE(YEAR(A276),MONTH(A276),1))</f>
        <v/>
      </c>
      <c r="H276" s="46" t="n"/>
    </row>
    <row r="277" ht="14.25" customHeight="1" s="63">
      <c r="A277" s="48" t="n"/>
      <c r="B277" s="46" t="n"/>
      <c r="C277" s="46" t="n"/>
      <c r="D277" s="46" t="n"/>
      <c r="E277" s="49" t="n"/>
      <c r="F277" s="46" t="n"/>
      <c r="G277" s="41">
        <f>IF(A277="","",DATE(YEAR(A277),MONTH(A277),1))</f>
        <v/>
      </c>
      <c r="H277" s="46" t="n"/>
    </row>
    <row r="278" ht="14.25" customHeight="1" s="63">
      <c r="A278" s="48" t="n"/>
      <c r="B278" s="46" t="n"/>
      <c r="C278" s="46" t="n"/>
      <c r="D278" s="46" t="n"/>
      <c r="E278" s="49" t="n"/>
      <c r="F278" s="46" t="n"/>
      <c r="G278" s="41">
        <f>IF(A278="","",DATE(YEAR(A278),MONTH(A278),1))</f>
        <v/>
      </c>
      <c r="H278" s="46" t="n"/>
    </row>
    <row r="279" ht="14.25" customHeight="1" s="63">
      <c r="A279" s="48" t="n"/>
      <c r="B279" s="46" t="n"/>
      <c r="C279" s="46" t="n"/>
      <c r="D279" s="46" t="n"/>
      <c r="E279" s="49" t="n"/>
      <c r="F279" s="46" t="n"/>
      <c r="G279" s="41">
        <f>IF(A279="","",DATE(YEAR(A279),MONTH(A279),1))</f>
        <v/>
      </c>
      <c r="H279" s="46" t="n"/>
    </row>
    <row r="280" ht="14.25" customHeight="1" s="63">
      <c r="A280" s="48" t="n"/>
      <c r="B280" s="46" t="n"/>
      <c r="C280" s="46" t="n"/>
      <c r="D280" s="46" t="n"/>
      <c r="E280" s="49" t="n"/>
      <c r="F280" s="46" t="n"/>
      <c r="G280" s="41">
        <f>IF(A280="","",DATE(YEAR(A280),MONTH(A280),1))</f>
        <v/>
      </c>
      <c r="H280" s="46" t="n"/>
    </row>
    <row r="281" ht="14.25" customHeight="1" s="63">
      <c r="A281" s="48" t="n"/>
      <c r="B281" s="46" t="n"/>
      <c r="C281" s="46" t="n"/>
      <c r="D281" s="46" t="n"/>
      <c r="E281" s="49" t="n"/>
      <c r="F281" s="46" t="n"/>
      <c r="G281" s="41">
        <f>IF(A281="","",DATE(YEAR(A281),MONTH(A281),1))</f>
        <v/>
      </c>
      <c r="H281" s="46" t="n"/>
    </row>
    <row r="282" ht="14.25" customHeight="1" s="63">
      <c r="A282" s="48" t="n"/>
      <c r="B282" s="46" t="n"/>
      <c r="C282" s="46" t="n"/>
      <c r="D282" s="46" t="n"/>
      <c r="E282" s="49" t="n"/>
      <c r="F282" s="46" t="n"/>
      <c r="G282" s="41">
        <f>IF(A282="","",DATE(YEAR(A282),MONTH(A282),1))</f>
        <v/>
      </c>
      <c r="H282" s="46" t="n"/>
    </row>
    <row r="283" ht="14.25" customHeight="1" s="63">
      <c r="A283" s="48" t="n"/>
      <c r="B283" s="46" t="n"/>
      <c r="C283" s="46" t="n"/>
      <c r="D283" s="46" t="n"/>
      <c r="E283" s="49" t="n"/>
      <c r="F283" s="46" t="n"/>
      <c r="G283" s="41">
        <f>IF(A283="","",DATE(YEAR(A283),MONTH(A283),1))</f>
        <v/>
      </c>
      <c r="H283" s="46" t="n"/>
    </row>
    <row r="284" ht="14.25" customHeight="1" s="63">
      <c r="A284" s="48" t="n"/>
      <c r="B284" s="46" t="n"/>
      <c r="C284" s="46" t="n"/>
      <c r="D284" s="46" t="n"/>
      <c r="E284" s="49" t="n"/>
      <c r="F284" s="46" t="n"/>
      <c r="G284" s="41">
        <f>IF(A284="","",DATE(YEAR(A284),MONTH(A284),1))</f>
        <v/>
      </c>
      <c r="H284" s="46" t="n"/>
    </row>
    <row r="285" ht="14.25" customHeight="1" s="63">
      <c r="A285" s="48" t="n"/>
      <c r="B285" s="46" t="n"/>
      <c r="C285" s="46" t="n"/>
      <c r="D285" s="46" t="n"/>
      <c r="E285" s="49" t="n"/>
      <c r="F285" s="46" t="n"/>
      <c r="G285" s="41">
        <f>IF(A285="","",DATE(YEAR(A285),MONTH(A285),1))</f>
        <v/>
      </c>
      <c r="H285" s="46" t="n"/>
    </row>
    <row r="286" ht="14.25" customHeight="1" s="63">
      <c r="A286" s="48" t="n"/>
      <c r="B286" s="46" t="n"/>
      <c r="C286" s="46" t="n"/>
      <c r="D286" s="46" t="n"/>
      <c r="E286" s="49" t="n"/>
      <c r="F286" s="46" t="n"/>
      <c r="G286" s="41">
        <f>IF(A286="","",DATE(YEAR(A286),MONTH(A286),1))</f>
        <v/>
      </c>
      <c r="H286" s="46" t="n"/>
    </row>
    <row r="287" ht="14.25" customHeight="1" s="63">
      <c r="A287" s="48" t="n"/>
      <c r="B287" s="46" t="n"/>
      <c r="C287" s="46" t="n"/>
      <c r="D287" s="46" t="n"/>
      <c r="E287" s="49" t="n"/>
      <c r="F287" s="46" t="n"/>
      <c r="G287" s="41">
        <f>IF(A287="","",DATE(YEAR(A287),MONTH(A287),1))</f>
        <v/>
      </c>
      <c r="H287" s="46" t="n"/>
    </row>
    <row r="288" ht="14.25" customHeight="1" s="63">
      <c r="A288" s="48" t="n"/>
      <c r="B288" s="46" t="n"/>
      <c r="C288" s="46" t="n"/>
      <c r="D288" s="46" t="n"/>
      <c r="E288" s="49" t="n"/>
      <c r="F288" s="46" t="n"/>
      <c r="G288" s="41">
        <f>IF(A288="","",DATE(YEAR(A288),MONTH(A288),1))</f>
        <v/>
      </c>
      <c r="H288" s="46" t="n"/>
    </row>
    <row r="289" ht="14.25" customHeight="1" s="63">
      <c r="A289" s="48" t="n"/>
      <c r="B289" s="46" t="n"/>
      <c r="C289" s="46" t="n"/>
      <c r="D289" s="46" t="n"/>
      <c r="E289" s="49" t="n"/>
      <c r="F289" s="46" t="n"/>
      <c r="G289" s="41">
        <f>IF(A289="","",DATE(YEAR(A289),MONTH(A289),1))</f>
        <v/>
      </c>
      <c r="H289" s="46" t="n"/>
    </row>
    <row r="290" ht="14.25" customHeight="1" s="63">
      <c r="A290" s="48" t="n"/>
      <c r="B290" s="46" t="n"/>
      <c r="C290" s="46" t="n"/>
      <c r="D290" s="46" t="n"/>
      <c r="E290" s="49" t="n"/>
      <c r="F290" s="46" t="n"/>
      <c r="G290" s="41">
        <f>IF(A290="","",DATE(YEAR(A290),MONTH(A290),1))</f>
        <v/>
      </c>
      <c r="H290" s="46" t="n"/>
    </row>
    <row r="291" ht="14.25" customHeight="1" s="63">
      <c r="A291" s="48" t="n"/>
      <c r="B291" s="46" t="n"/>
      <c r="C291" s="46" t="n"/>
      <c r="D291" s="46" t="n"/>
      <c r="E291" s="49" t="n"/>
      <c r="F291" s="46" t="n"/>
      <c r="G291" s="41">
        <f>IF(A291="","",DATE(YEAR(A291),MONTH(A291),1))</f>
        <v/>
      </c>
      <c r="H291" s="46" t="n"/>
    </row>
    <row r="292" ht="14.25" customHeight="1" s="63">
      <c r="A292" s="48" t="n"/>
      <c r="B292" s="46" t="n"/>
      <c r="C292" s="46" t="n"/>
      <c r="D292" s="46" t="n"/>
      <c r="E292" s="49" t="n"/>
      <c r="F292" s="46" t="n"/>
      <c r="G292" s="41">
        <f>IF(A292="","",DATE(YEAR(A292),MONTH(A292),1))</f>
        <v/>
      </c>
      <c r="H292" s="46" t="n"/>
    </row>
    <row r="293" ht="14.25" customHeight="1" s="63">
      <c r="A293" s="48" t="n"/>
      <c r="B293" s="46" t="n"/>
      <c r="C293" s="46" t="n"/>
      <c r="D293" s="46" t="n"/>
      <c r="E293" s="49" t="n"/>
      <c r="F293" s="46" t="n"/>
      <c r="G293" s="41">
        <f>IF(A293="","",DATE(YEAR(A293),MONTH(A293),1))</f>
        <v/>
      </c>
      <c r="H293" s="46" t="n"/>
    </row>
    <row r="294" ht="14.25" customHeight="1" s="63">
      <c r="A294" s="48" t="n"/>
      <c r="B294" s="46" t="n"/>
      <c r="C294" s="46" t="n"/>
      <c r="D294" s="46" t="n"/>
      <c r="E294" s="49" t="n"/>
      <c r="F294" s="46" t="n"/>
      <c r="G294" s="41">
        <f>IF(A294="","",DATE(YEAR(A294),MONTH(A294),1))</f>
        <v/>
      </c>
      <c r="H294" s="46" t="n"/>
    </row>
    <row r="295" ht="14.25" customHeight="1" s="63">
      <c r="A295" s="48" t="n"/>
      <c r="B295" s="46" t="n"/>
      <c r="C295" s="46" t="n"/>
      <c r="D295" s="46" t="n"/>
      <c r="E295" s="49" t="n"/>
      <c r="F295" s="46" t="n"/>
      <c r="G295" s="41">
        <f>IF(A295="","",DATE(YEAR(A295),MONTH(A295),1))</f>
        <v/>
      </c>
      <c r="H295" s="46" t="n"/>
    </row>
    <row r="296" ht="14.25" customHeight="1" s="63">
      <c r="A296" s="48" t="n"/>
      <c r="B296" s="46" t="n"/>
      <c r="C296" s="46" t="n"/>
      <c r="D296" s="46" t="n"/>
      <c r="E296" s="49" t="n"/>
      <c r="F296" s="46" t="n"/>
      <c r="G296" s="41">
        <f>IF(A296="","",DATE(YEAR(A296),MONTH(A296),1))</f>
        <v/>
      </c>
      <c r="H296" s="46" t="n"/>
    </row>
    <row r="297" ht="14.25" customHeight="1" s="63">
      <c r="A297" s="48" t="n"/>
      <c r="B297" s="46" t="n"/>
      <c r="C297" s="46" t="n"/>
      <c r="D297" s="46" t="n"/>
      <c r="E297" s="49" t="n"/>
      <c r="F297" s="46" t="n"/>
      <c r="G297" s="41">
        <f>IF(A297="","",DATE(YEAR(A297),MONTH(A297),1))</f>
        <v/>
      </c>
      <c r="H297" s="46" t="n"/>
    </row>
    <row r="298" ht="14.25" customHeight="1" s="63">
      <c r="A298" s="48" t="n"/>
      <c r="B298" s="46" t="n"/>
      <c r="C298" s="46" t="n"/>
      <c r="D298" s="46" t="n"/>
      <c r="E298" s="49" t="n"/>
      <c r="F298" s="46" t="n"/>
      <c r="G298" s="41">
        <f>IF(A298="","",DATE(YEAR(A298),MONTH(A298),1))</f>
        <v/>
      </c>
      <c r="H298" s="46" t="n"/>
    </row>
    <row r="299" ht="14.25" customHeight="1" s="63">
      <c r="A299" s="48" t="n"/>
      <c r="B299" s="46" t="n"/>
      <c r="C299" s="46" t="n"/>
      <c r="D299" s="46" t="n"/>
      <c r="E299" s="49" t="n"/>
      <c r="F299" s="46" t="n"/>
      <c r="G299" s="41">
        <f>IF(A299="","",DATE(YEAR(A299),MONTH(A299),1))</f>
        <v/>
      </c>
      <c r="H299" s="46" t="n"/>
    </row>
    <row r="300" ht="14.25" customHeight="1" s="63">
      <c r="A300" s="48" t="n"/>
      <c r="B300" s="46" t="n"/>
      <c r="C300" s="46" t="n"/>
      <c r="D300" s="46" t="n"/>
      <c r="E300" s="49" t="n"/>
      <c r="F300" s="46" t="n"/>
      <c r="G300" s="41">
        <f>IF(A300="","",DATE(YEAR(A300),MONTH(A300),1))</f>
        <v/>
      </c>
      <c r="H300" s="46" t="n"/>
    </row>
    <row r="301" ht="14.25" customHeight="1" s="63">
      <c r="A301" s="48" t="n"/>
      <c r="B301" s="46" t="n"/>
      <c r="C301" s="46" t="n"/>
      <c r="D301" s="46" t="n"/>
      <c r="E301" s="49" t="n"/>
      <c r="F301" s="46" t="n"/>
      <c r="G301" s="41">
        <f>IF(A301="","",DATE(YEAR(A301),MONTH(A301),1))</f>
        <v/>
      </c>
      <c r="H301" s="46" t="n"/>
    </row>
    <row r="302" ht="14.25" customHeight="1" s="63">
      <c r="A302" s="48" t="n"/>
      <c r="B302" s="46" t="n"/>
      <c r="C302" s="46" t="n"/>
      <c r="D302" s="46" t="n"/>
      <c r="E302" s="49" t="n"/>
      <c r="F302" s="46" t="n"/>
      <c r="G302" s="41">
        <f>IF(A302="","",DATE(YEAR(A302),MONTH(A302),1))</f>
        <v/>
      </c>
      <c r="H302" s="46" t="n"/>
    </row>
    <row r="303" ht="14.25" customHeight="1" s="63">
      <c r="A303" s="48" t="n"/>
      <c r="B303" s="46" t="n"/>
      <c r="C303" s="46" t="n"/>
      <c r="D303" s="46" t="n"/>
      <c r="E303" s="49" t="n"/>
      <c r="F303" s="46" t="n"/>
      <c r="G303" s="41">
        <f>IF(A303="","",DATE(YEAR(A303),MONTH(A303),1))</f>
        <v/>
      </c>
      <c r="H303" s="46" t="n"/>
    </row>
    <row r="304" ht="14.25" customHeight="1" s="63">
      <c r="A304" s="48" t="n"/>
      <c r="B304" s="46" t="n"/>
      <c r="C304" s="46" t="n"/>
      <c r="D304" s="46" t="n"/>
      <c r="E304" s="49" t="n"/>
      <c r="F304" s="46" t="n"/>
      <c r="G304" s="41">
        <f>IF(A304="","",DATE(YEAR(A304),MONTH(A304),1))</f>
        <v/>
      </c>
      <c r="H304" s="46" t="n"/>
    </row>
    <row r="305" ht="14.25" customHeight="1" s="63">
      <c r="A305" s="48" t="n"/>
      <c r="B305" s="46" t="n"/>
      <c r="C305" s="46" t="n"/>
      <c r="D305" s="46" t="n"/>
      <c r="E305" s="49" t="n"/>
      <c r="F305" s="46" t="n"/>
      <c r="G305" s="41">
        <f>IF(A305="","",DATE(YEAR(A305),MONTH(A305),1))</f>
        <v/>
      </c>
      <c r="H305" s="46" t="n"/>
    </row>
    <row r="306" ht="14.25" customHeight="1" s="63">
      <c r="A306" s="48" t="n"/>
      <c r="B306" s="46" t="n"/>
      <c r="C306" s="46" t="n"/>
      <c r="D306" s="46" t="n"/>
      <c r="E306" s="49" t="n"/>
      <c r="F306" s="46" t="n"/>
      <c r="G306" s="41">
        <f>IF(A306="","",DATE(YEAR(A306),MONTH(A306),1))</f>
        <v/>
      </c>
      <c r="H306" s="46" t="n"/>
    </row>
    <row r="307" ht="14.25" customHeight="1" s="63">
      <c r="A307" s="48" t="n"/>
      <c r="B307" s="46" t="n"/>
      <c r="C307" s="46" t="n"/>
      <c r="D307" s="46" t="n"/>
      <c r="E307" s="49" t="n"/>
      <c r="F307" s="46" t="n"/>
      <c r="G307" s="41">
        <f>IF(A307="","",DATE(YEAR(A307),MONTH(A307),1))</f>
        <v/>
      </c>
      <c r="H307" s="46" t="n"/>
    </row>
    <row r="308" ht="14.25" customHeight="1" s="63">
      <c r="A308" s="48" t="n"/>
      <c r="B308" s="46" t="n"/>
      <c r="C308" s="46" t="n"/>
      <c r="D308" s="46" t="n"/>
      <c r="E308" s="49" t="n"/>
      <c r="F308" s="46" t="n"/>
      <c r="G308" s="41">
        <f>IF(A308="","",DATE(YEAR(A308),MONTH(A308),1))</f>
        <v/>
      </c>
      <c r="H308" s="46" t="n"/>
    </row>
    <row r="309" ht="14.25" customHeight="1" s="63">
      <c r="A309" s="48" t="n"/>
      <c r="B309" s="46" t="n"/>
      <c r="C309" s="46" t="n"/>
      <c r="D309" s="46" t="n"/>
      <c r="E309" s="49" t="n"/>
      <c r="F309" s="46" t="n"/>
      <c r="G309" s="41">
        <f>IF(A309="","",DATE(YEAR(A309),MONTH(A309),1))</f>
        <v/>
      </c>
      <c r="H309" s="46" t="n"/>
    </row>
    <row r="310" ht="14.25" customHeight="1" s="63">
      <c r="A310" s="48" t="n"/>
      <c r="B310" s="46" t="n"/>
      <c r="C310" s="46" t="n"/>
      <c r="D310" s="46" t="n"/>
      <c r="E310" s="49" t="n"/>
      <c r="F310" s="46" t="n"/>
      <c r="G310" s="41">
        <f>IF(A310="","",DATE(YEAR(A310),MONTH(A310),1))</f>
        <v/>
      </c>
      <c r="H310" s="46" t="n"/>
    </row>
    <row r="311" ht="14.25" customHeight="1" s="63">
      <c r="A311" s="48" t="n"/>
      <c r="B311" s="46" t="n"/>
      <c r="C311" s="46" t="n"/>
      <c r="D311" s="46" t="n"/>
      <c r="E311" s="49" t="n"/>
      <c r="F311" s="46" t="n"/>
      <c r="G311" s="41">
        <f>IF(A311="","",DATE(YEAR(A311),MONTH(A311),1))</f>
        <v/>
      </c>
      <c r="H311" s="46" t="n"/>
    </row>
    <row r="312" ht="14.25" customHeight="1" s="63">
      <c r="A312" s="48" t="n"/>
      <c r="B312" s="46" t="n"/>
      <c r="C312" s="46" t="n"/>
      <c r="D312" s="46" t="n"/>
      <c r="E312" s="49" t="n"/>
      <c r="F312" s="46" t="n"/>
      <c r="G312" s="41">
        <f>IF(A312="","",DATE(YEAR(A312),MONTH(A312),1))</f>
        <v/>
      </c>
      <c r="H312" s="46" t="n"/>
    </row>
    <row r="313" ht="14.25" customHeight="1" s="63">
      <c r="A313" s="48" t="n"/>
      <c r="B313" s="46" t="n"/>
      <c r="C313" s="46" t="n"/>
      <c r="D313" s="46" t="n"/>
      <c r="E313" s="49" t="n"/>
      <c r="F313" s="46" t="n"/>
      <c r="G313" s="41">
        <f>IF(A313="","",DATE(YEAR(A313),MONTH(A313),1))</f>
        <v/>
      </c>
      <c r="H313" s="46" t="n"/>
    </row>
    <row r="314" ht="14.25" customHeight="1" s="63">
      <c r="A314" s="48" t="n"/>
      <c r="B314" s="46" t="n"/>
      <c r="C314" s="46" t="n"/>
      <c r="D314" s="46" t="n"/>
      <c r="E314" s="49" t="n"/>
      <c r="F314" s="46" t="n"/>
      <c r="G314" s="41">
        <f>IF(A314="","",DATE(YEAR(A314),MONTH(A314),1))</f>
        <v/>
      </c>
      <c r="H314" s="46" t="n"/>
    </row>
    <row r="315" ht="14.25" customHeight="1" s="63">
      <c r="A315" s="48" t="n"/>
      <c r="B315" s="46" t="n"/>
      <c r="C315" s="46" t="n"/>
      <c r="D315" s="46" t="n"/>
      <c r="E315" s="49" t="n"/>
      <c r="F315" s="46" t="n"/>
      <c r="G315" s="41">
        <f>IF(A315="","",DATE(YEAR(A315),MONTH(A315),1))</f>
        <v/>
      </c>
      <c r="H315" s="46" t="n"/>
    </row>
    <row r="316" ht="14.25" customHeight="1" s="63">
      <c r="A316" s="48" t="n"/>
      <c r="B316" s="46" t="n"/>
      <c r="C316" s="46" t="n"/>
      <c r="D316" s="46" t="n"/>
      <c r="E316" s="49" t="n"/>
      <c r="F316" s="46" t="n"/>
      <c r="G316" s="41">
        <f>IF(A316="","",DATE(YEAR(A316),MONTH(A316),1))</f>
        <v/>
      </c>
      <c r="H316" s="46" t="n"/>
    </row>
    <row r="317" ht="14.25" customHeight="1" s="63">
      <c r="A317" s="48" t="n"/>
      <c r="B317" s="46" t="n"/>
      <c r="C317" s="46" t="n"/>
      <c r="D317" s="46" t="n"/>
      <c r="E317" s="49" t="n"/>
      <c r="F317" s="46" t="n"/>
      <c r="G317" s="41">
        <f>IF(A317="","",DATE(YEAR(A317),MONTH(A317),1))</f>
        <v/>
      </c>
      <c r="H317" s="46" t="n"/>
    </row>
    <row r="318" ht="14.25" customHeight="1" s="63">
      <c r="A318" s="48" t="n"/>
      <c r="B318" s="46" t="n"/>
      <c r="C318" s="46" t="n"/>
      <c r="D318" s="46" t="n"/>
      <c r="E318" s="49" t="n"/>
      <c r="F318" s="46" t="n"/>
      <c r="G318" s="41">
        <f>IF(A318="","",DATE(YEAR(A318),MONTH(A318),1))</f>
        <v/>
      </c>
      <c r="H318" s="46" t="n"/>
    </row>
    <row r="319" ht="14.25" customHeight="1" s="63">
      <c r="A319" s="48" t="n"/>
      <c r="B319" s="46" t="n"/>
      <c r="C319" s="46" t="n"/>
      <c r="D319" s="46" t="n"/>
      <c r="E319" s="49" t="n"/>
      <c r="F319" s="46" t="n"/>
      <c r="G319" s="41">
        <f>IF(A319="","",DATE(YEAR(A319),MONTH(A319),1))</f>
        <v/>
      </c>
      <c r="H319" s="46" t="n"/>
    </row>
    <row r="320" ht="14.25" customHeight="1" s="63">
      <c r="A320" s="48" t="n"/>
      <c r="B320" s="46" t="n"/>
      <c r="C320" s="46" t="n"/>
      <c r="D320" s="46" t="n"/>
      <c r="E320" s="49" t="n"/>
      <c r="F320" s="46" t="n"/>
      <c r="G320" s="41">
        <f>IF(A320="","",DATE(YEAR(A320),MONTH(A320),1))</f>
        <v/>
      </c>
      <c r="H320" s="46" t="n"/>
    </row>
    <row r="321" ht="14.25" customHeight="1" s="63">
      <c r="A321" s="48" t="n"/>
      <c r="B321" s="46" t="n"/>
      <c r="C321" s="46" t="n"/>
      <c r="D321" s="46" t="n"/>
      <c r="E321" s="49" t="n"/>
      <c r="F321" s="46" t="n"/>
      <c r="G321" s="41">
        <f>IF(A321="","",DATE(YEAR(A321),MONTH(A321),1))</f>
        <v/>
      </c>
      <c r="H321" s="46" t="n"/>
    </row>
    <row r="322" ht="14.25" customHeight="1" s="63">
      <c r="A322" s="48" t="n"/>
      <c r="B322" s="46" t="n"/>
      <c r="C322" s="46" t="n"/>
      <c r="D322" s="46" t="n"/>
      <c r="E322" s="49" t="n"/>
      <c r="F322" s="46" t="n"/>
      <c r="G322" s="41">
        <f>IF(A322="","",DATE(YEAR(A322),MONTH(A322),1))</f>
        <v/>
      </c>
      <c r="H322" s="46" t="n"/>
    </row>
    <row r="323" ht="14.25" customHeight="1" s="63">
      <c r="A323" s="48" t="n"/>
      <c r="B323" s="46" t="n"/>
      <c r="C323" s="46" t="n"/>
      <c r="D323" s="46" t="n"/>
      <c r="E323" s="49" t="n"/>
      <c r="F323" s="46" t="n"/>
      <c r="G323" s="41">
        <f>IF(A323="","",DATE(YEAR(A323),MONTH(A323),1))</f>
        <v/>
      </c>
      <c r="H323" s="46" t="n"/>
    </row>
    <row r="324" ht="14.25" customHeight="1" s="63">
      <c r="A324" s="48" t="n"/>
      <c r="B324" s="46" t="n"/>
      <c r="C324" s="46" t="n"/>
      <c r="D324" s="46" t="n"/>
      <c r="E324" s="49" t="n"/>
      <c r="F324" s="46" t="n"/>
      <c r="G324" s="41">
        <f>IF(A324="","",DATE(YEAR(A324),MONTH(A324),1))</f>
        <v/>
      </c>
      <c r="H324" s="46" t="n"/>
    </row>
    <row r="325" ht="14.25" customHeight="1" s="63">
      <c r="A325" s="48" t="n"/>
      <c r="B325" s="46" t="n"/>
      <c r="C325" s="46" t="n"/>
      <c r="D325" s="46" t="n"/>
      <c r="E325" s="49" t="n"/>
      <c r="F325" s="46" t="n"/>
      <c r="G325" s="41">
        <f>IF(A325="","",DATE(YEAR(A325),MONTH(A325),1))</f>
        <v/>
      </c>
      <c r="H325" s="46" t="n"/>
    </row>
    <row r="326" ht="14.25" customHeight="1" s="63">
      <c r="A326" s="48" t="n"/>
      <c r="B326" s="46" t="n"/>
      <c r="C326" s="46" t="n"/>
      <c r="D326" s="46" t="n"/>
      <c r="E326" s="49" t="n"/>
      <c r="F326" s="46" t="n"/>
      <c r="G326" s="41">
        <f>IF(A326="","",DATE(YEAR(A326),MONTH(A326),1))</f>
        <v/>
      </c>
      <c r="H326" s="46" t="n"/>
    </row>
    <row r="327" ht="14.25" customHeight="1" s="63">
      <c r="A327" s="48" t="n"/>
      <c r="B327" s="46" t="n"/>
      <c r="C327" s="46" t="n"/>
      <c r="D327" s="46" t="n"/>
      <c r="E327" s="49" t="n"/>
      <c r="F327" s="46" t="n"/>
      <c r="G327" s="41">
        <f>IF(A327="","",DATE(YEAR(A327),MONTH(A327),1))</f>
        <v/>
      </c>
      <c r="H327" s="46" t="n"/>
    </row>
    <row r="328" ht="14.25" customHeight="1" s="63">
      <c r="A328" s="48" t="n"/>
      <c r="B328" s="46" t="n"/>
      <c r="C328" s="46" t="n"/>
      <c r="D328" s="46" t="n"/>
      <c r="E328" s="49" t="n"/>
      <c r="F328" s="46" t="n"/>
      <c r="G328" s="41">
        <f>IF(A328="","",DATE(YEAR(A328),MONTH(A328),1))</f>
        <v/>
      </c>
      <c r="H328" s="46" t="n"/>
    </row>
    <row r="329" ht="14.25" customHeight="1" s="63">
      <c r="A329" s="48" t="n"/>
      <c r="B329" s="46" t="n"/>
      <c r="C329" s="46" t="n"/>
      <c r="D329" s="46" t="n"/>
      <c r="E329" s="49" t="n"/>
      <c r="F329" s="46" t="n"/>
      <c r="G329" s="41">
        <f>IF(A329="","",DATE(YEAR(A329),MONTH(A329),1))</f>
        <v/>
      </c>
      <c r="H329" s="46" t="n"/>
    </row>
    <row r="330" ht="14.25" customHeight="1" s="63">
      <c r="A330" s="48" t="n"/>
      <c r="B330" s="46" t="n"/>
      <c r="C330" s="46" t="n"/>
      <c r="D330" s="46" t="n"/>
      <c r="E330" s="49" t="n"/>
      <c r="F330" s="46" t="n"/>
      <c r="G330" s="41">
        <f>IF(A330="","",DATE(YEAR(A330),MONTH(A330),1))</f>
        <v/>
      </c>
      <c r="H330" s="46" t="n"/>
    </row>
    <row r="331" ht="14.25" customHeight="1" s="63">
      <c r="A331" s="48" t="n"/>
      <c r="B331" s="46" t="n"/>
      <c r="C331" s="46" t="n"/>
      <c r="D331" s="46" t="n"/>
      <c r="E331" s="49" t="n"/>
      <c r="F331" s="46" t="n"/>
      <c r="G331" s="41">
        <f>IF(A331="","",DATE(YEAR(A331),MONTH(A331),1))</f>
        <v/>
      </c>
      <c r="H331" s="46" t="n"/>
    </row>
    <row r="332" ht="14.25" customHeight="1" s="63">
      <c r="A332" s="48" t="n"/>
      <c r="B332" s="46" t="n"/>
      <c r="C332" s="46" t="n"/>
      <c r="D332" s="46" t="n"/>
      <c r="E332" s="49" t="n"/>
      <c r="F332" s="46" t="n"/>
      <c r="G332" s="41">
        <f>IF(A332="","",DATE(YEAR(A332),MONTH(A332),1))</f>
        <v/>
      </c>
      <c r="H332" s="46" t="n"/>
    </row>
    <row r="333" ht="14.25" customHeight="1" s="63">
      <c r="A333" s="48" t="n"/>
      <c r="B333" s="46" t="n"/>
      <c r="C333" s="46" t="n"/>
      <c r="D333" s="46" t="n"/>
      <c r="E333" s="49" t="n"/>
      <c r="F333" s="46" t="n"/>
      <c r="G333" s="41">
        <f>IF(A333="","",DATE(YEAR(A333),MONTH(A333),1))</f>
        <v/>
      </c>
      <c r="H333" s="46" t="n"/>
    </row>
    <row r="334" ht="14.25" customHeight="1" s="63">
      <c r="A334" s="48" t="n"/>
      <c r="B334" s="46" t="n"/>
      <c r="C334" s="46" t="n"/>
      <c r="D334" s="46" t="n"/>
      <c r="E334" s="49" t="n"/>
      <c r="F334" s="46" t="n"/>
      <c r="G334" s="41">
        <f>IF(A334="","",DATE(YEAR(A334),MONTH(A334),1))</f>
        <v/>
      </c>
      <c r="H334" s="46" t="n"/>
    </row>
    <row r="335" ht="14.25" customHeight="1" s="63">
      <c r="A335" s="48" t="n"/>
      <c r="B335" s="46" t="n"/>
      <c r="C335" s="46" t="n"/>
      <c r="D335" s="46" t="n"/>
      <c r="E335" s="49" t="n"/>
      <c r="F335" s="46" t="n"/>
      <c r="G335" s="41">
        <f>IF(A335="","",DATE(YEAR(A335),MONTH(A335),1))</f>
        <v/>
      </c>
      <c r="H335" s="46" t="n"/>
    </row>
    <row r="336" ht="14.25" customHeight="1" s="63">
      <c r="A336" s="48" t="n"/>
      <c r="B336" s="46" t="n"/>
      <c r="C336" s="46" t="n"/>
      <c r="D336" s="46" t="n"/>
      <c r="E336" s="49" t="n"/>
      <c r="F336" s="46" t="n"/>
      <c r="G336" s="41">
        <f>IF(A336="","",DATE(YEAR(A336),MONTH(A336),1))</f>
        <v/>
      </c>
      <c r="H336" s="46" t="n"/>
    </row>
    <row r="337" ht="14.25" customHeight="1" s="63">
      <c r="A337" s="48" t="n"/>
      <c r="B337" s="46" t="n"/>
      <c r="C337" s="46" t="n"/>
      <c r="D337" s="46" t="n"/>
      <c r="E337" s="49" t="n"/>
      <c r="F337" s="46" t="n"/>
      <c r="G337" s="41">
        <f>IF(A337="","",DATE(YEAR(A337),MONTH(A337),1))</f>
        <v/>
      </c>
      <c r="H337" s="46" t="n"/>
    </row>
    <row r="338" ht="14.25" customHeight="1" s="63">
      <c r="A338" s="48" t="n"/>
      <c r="B338" s="46" t="n"/>
      <c r="C338" s="46" t="n"/>
      <c r="D338" s="46" t="n"/>
      <c r="E338" s="49" t="n"/>
      <c r="F338" s="46" t="n"/>
      <c r="G338" s="41">
        <f>IF(A338="","",DATE(YEAR(A338),MONTH(A338),1))</f>
        <v/>
      </c>
      <c r="H338" s="46" t="n"/>
    </row>
    <row r="339" ht="14.25" customHeight="1" s="63">
      <c r="A339" s="48" t="n"/>
      <c r="B339" s="46" t="n"/>
      <c r="C339" s="46" t="n"/>
      <c r="D339" s="46" t="n"/>
      <c r="E339" s="49" t="n"/>
      <c r="F339" s="46" t="n"/>
      <c r="G339" s="41">
        <f>IF(A339="","",DATE(YEAR(A339),MONTH(A339),1))</f>
        <v/>
      </c>
      <c r="H339" s="46" t="n"/>
    </row>
    <row r="340" ht="14.25" customHeight="1" s="63">
      <c r="A340" s="48" t="n"/>
      <c r="B340" s="46" t="n"/>
      <c r="C340" s="46" t="n"/>
      <c r="D340" s="46" t="n"/>
      <c r="E340" s="49" t="n"/>
      <c r="F340" s="46" t="n"/>
      <c r="G340" s="41">
        <f>IF(A340="","",DATE(YEAR(A340),MONTH(A340),1))</f>
        <v/>
      </c>
      <c r="H340" s="46" t="n"/>
    </row>
    <row r="341" ht="14.25" customHeight="1" s="63">
      <c r="A341" s="48" t="n"/>
      <c r="B341" s="46" t="n"/>
      <c r="C341" s="46" t="n"/>
      <c r="D341" s="46" t="n"/>
      <c r="E341" s="49" t="n"/>
      <c r="F341" s="46" t="n"/>
      <c r="G341" s="41">
        <f>IF(A341="","",DATE(YEAR(A341),MONTH(A341),1))</f>
        <v/>
      </c>
      <c r="H341" s="46" t="n"/>
    </row>
    <row r="342" ht="14.25" customHeight="1" s="63">
      <c r="A342" s="48" t="n"/>
      <c r="B342" s="46" t="n"/>
      <c r="C342" s="46" t="n"/>
      <c r="D342" s="46" t="n"/>
      <c r="E342" s="49" t="n"/>
      <c r="F342" s="46" t="n"/>
      <c r="G342" s="41">
        <f>IF(A342="","",DATE(YEAR(A342),MONTH(A342),1))</f>
        <v/>
      </c>
      <c r="H342" s="46" t="n"/>
    </row>
    <row r="343" ht="14.25" customHeight="1" s="63">
      <c r="A343" s="48" t="n"/>
      <c r="B343" s="46" t="n"/>
      <c r="C343" s="46" t="n"/>
      <c r="D343" s="46" t="n"/>
      <c r="E343" s="49" t="n"/>
      <c r="F343" s="46" t="n"/>
      <c r="G343" s="41">
        <f>IF(A343="","",DATE(YEAR(A343),MONTH(A343),1))</f>
        <v/>
      </c>
      <c r="H343" s="46" t="n"/>
    </row>
    <row r="344" ht="14.25" customHeight="1" s="63">
      <c r="A344" s="48" t="n"/>
      <c r="B344" s="46" t="n"/>
      <c r="C344" s="46" t="n"/>
      <c r="D344" s="46" t="n"/>
      <c r="E344" s="49" t="n"/>
      <c r="F344" s="46" t="n"/>
      <c r="G344" s="41">
        <f>IF(A344="","",DATE(YEAR(A344),MONTH(A344),1))</f>
        <v/>
      </c>
      <c r="H344" s="46" t="n"/>
    </row>
    <row r="345" ht="14.25" customHeight="1" s="63">
      <c r="A345" s="48" t="n"/>
      <c r="B345" s="46" t="n"/>
      <c r="C345" s="46" t="n"/>
      <c r="D345" s="46" t="n"/>
      <c r="E345" s="49" t="n"/>
      <c r="F345" s="46" t="n"/>
      <c r="G345" s="41">
        <f>IF(A345="","",DATE(YEAR(A345),MONTH(A345),1))</f>
        <v/>
      </c>
      <c r="H345" s="46" t="n"/>
    </row>
    <row r="346" ht="14.25" customHeight="1" s="63">
      <c r="A346" s="48" t="n"/>
      <c r="B346" s="46" t="n"/>
      <c r="C346" s="46" t="n"/>
      <c r="D346" s="46" t="n"/>
      <c r="E346" s="49" t="n"/>
      <c r="F346" s="46" t="n"/>
      <c r="G346" s="41">
        <f>IF(A346="","",DATE(YEAR(A346),MONTH(A346),1))</f>
        <v/>
      </c>
      <c r="H346" s="46" t="n"/>
    </row>
    <row r="347" ht="14.25" customHeight="1" s="63">
      <c r="A347" s="48" t="n"/>
      <c r="B347" s="46" t="n"/>
      <c r="C347" s="46" t="n"/>
      <c r="D347" s="46" t="n"/>
      <c r="E347" s="49" t="n"/>
      <c r="F347" s="46" t="n"/>
      <c r="G347" s="41">
        <f>IF(A347="","",DATE(YEAR(A347),MONTH(A347),1))</f>
        <v/>
      </c>
      <c r="H347" s="46" t="n"/>
    </row>
    <row r="348" ht="14.25" customHeight="1" s="63">
      <c r="A348" s="48" t="n"/>
      <c r="B348" s="46" t="n"/>
      <c r="C348" s="46" t="n"/>
      <c r="D348" s="46" t="n"/>
      <c r="E348" s="49" t="n"/>
      <c r="F348" s="46" t="n"/>
      <c r="G348" s="41">
        <f>IF(A348="","",DATE(YEAR(A348),MONTH(A348),1))</f>
        <v/>
      </c>
      <c r="H348" s="46" t="n"/>
    </row>
    <row r="349" ht="14.25" customHeight="1" s="63">
      <c r="A349" s="48" t="n"/>
      <c r="B349" s="46" t="n"/>
      <c r="C349" s="46" t="n"/>
      <c r="D349" s="46" t="n"/>
      <c r="E349" s="49" t="n"/>
      <c r="F349" s="46" t="n"/>
      <c r="G349" s="41">
        <f>IF(A349="","",DATE(YEAR(A349),MONTH(A349),1))</f>
        <v/>
      </c>
      <c r="H349" s="46" t="n"/>
    </row>
    <row r="350" ht="14.25" customHeight="1" s="63">
      <c r="A350" s="48" t="n"/>
      <c r="B350" s="46" t="n"/>
      <c r="C350" s="46" t="n"/>
      <c r="D350" s="46" t="n"/>
      <c r="E350" s="49" t="n"/>
      <c r="F350" s="46" t="n"/>
      <c r="G350" s="41">
        <f>IF(A350="","",DATE(YEAR(A350),MONTH(A350),1))</f>
        <v/>
      </c>
      <c r="H350" s="46" t="n"/>
    </row>
    <row r="351" ht="14.25" customHeight="1" s="63">
      <c r="A351" s="48" t="n"/>
      <c r="B351" s="46" t="n"/>
      <c r="C351" s="46" t="n"/>
      <c r="D351" s="46" t="n"/>
      <c r="E351" s="49" t="n"/>
      <c r="F351" s="46" t="n"/>
      <c r="G351" s="41">
        <f>IF(A351="","",DATE(YEAR(A351),MONTH(A351),1))</f>
        <v/>
      </c>
      <c r="H351" s="46" t="n"/>
    </row>
    <row r="352" ht="14.25" customHeight="1" s="63">
      <c r="A352" s="48" t="n"/>
      <c r="B352" s="46" t="n"/>
      <c r="C352" s="46" t="n"/>
      <c r="D352" s="46" t="n"/>
      <c r="E352" s="49" t="n"/>
      <c r="F352" s="46" t="n"/>
      <c r="G352" s="41">
        <f>IF(A352="","",DATE(YEAR(A352),MONTH(A352),1))</f>
        <v/>
      </c>
      <c r="H352" s="46" t="n"/>
    </row>
    <row r="353" ht="14.25" customHeight="1" s="63">
      <c r="A353" s="48" t="n"/>
      <c r="B353" s="46" t="n"/>
      <c r="C353" s="46" t="n"/>
      <c r="D353" s="46" t="n"/>
      <c r="E353" s="49" t="n"/>
      <c r="F353" s="46" t="n"/>
      <c r="G353" s="41">
        <f>IF(A353="","",DATE(YEAR(A353),MONTH(A353),1))</f>
        <v/>
      </c>
      <c r="H353" s="46" t="n"/>
    </row>
    <row r="354" ht="14.25" customHeight="1" s="63">
      <c r="A354" s="48" t="n"/>
      <c r="B354" s="46" t="n"/>
      <c r="C354" s="46" t="n"/>
      <c r="D354" s="46" t="n"/>
      <c r="E354" s="49" t="n"/>
      <c r="F354" s="46" t="n"/>
      <c r="G354" s="41">
        <f>IF(A354="","",DATE(YEAR(A354),MONTH(A354),1))</f>
        <v/>
      </c>
      <c r="H354" s="46" t="n"/>
    </row>
    <row r="355" ht="14.25" customHeight="1" s="63">
      <c r="A355" s="48" t="n"/>
      <c r="B355" s="46" t="n"/>
      <c r="C355" s="46" t="n"/>
      <c r="D355" s="46" t="n"/>
      <c r="E355" s="49" t="n"/>
      <c r="F355" s="46" t="n"/>
      <c r="G355" s="41">
        <f>IF(A355="","",DATE(YEAR(A355),MONTH(A355),1))</f>
        <v/>
      </c>
      <c r="H355" s="46" t="n"/>
    </row>
    <row r="356" ht="14.25" customHeight="1" s="63">
      <c r="A356" s="48" t="n"/>
      <c r="B356" s="46" t="n"/>
      <c r="C356" s="46" t="n"/>
      <c r="D356" s="46" t="n"/>
      <c r="E356" s="49" t="n"/>
      <c r="F356" s="46" t="n"/>
      <c r="G356" s="41">
        <f>IF(A356="","",DATE(YEAR(A356),MONTH(A356),1))</f>
        <v/>
      </c>
      <c r="H356" s="46" t="n"/>
    </row>
    <row r="357" ht="14.25" customHeight="1" s="63">
      <c r="A357" s="48" t="n"/>
      <c r="B357" s="46" t="n"/>
      <c r="C357" s="46" t="n"/>
      <c r="D357" s="46" t="n"/>
      <c r="E357" s="49" t="n"/>
      <c r="F357" s="46" t="n"/>
      <c r="G357" s="41">
        <f>IF(A357="","",DATE(YEAR(A357),MONTH(A357),1))</f>
        <v/>
      </c>
      <c r="H357" s="46" t="n"/>
    </row>
    <row r="358" ht="14.25" customHeight="1" s="63">
      <c r="A358" s="48" t="n"/>
      <c r="B358" s="46" t="n"/>
      <c r="C358" s="46" t="n"/>
      <c r="D358" s="46" t="n"/>
      <c r="E358" s="49" t="n"/>
      <c r="F358" s="46" t="n"/>
      <c r="G358" s="41">
        <f>IF(A358="","",DATE(YEAR(A358),MONTH(A358),1))</f>
        <v/>
      </c>
      <c r="H358" s="46" t="n"/>
    </row>
    <row r="359" ht="14.25" customHeight="1" s="63">
      <c r="A359" s="48" t="n"/>
      <c r="B359" s="46" t="n"/>
      <c r="C359" s="46" t="n"/>
      <c r="D359" s="46" t="n"/>
      <c r="E359" s="49" t="n"/>
      <c r="F359" s="46" t="n"/>
      <c r="G359" s="41">
        <f>IF(A359="","",DATE(YEAR(A359),MONTH(A359),1))</f>
        <v/>
      </c>
      <c r="H359" s="46" t="n"/>
    </row>
    <row r="360" ht="14.25" customHeight="1" s="63">
      <c r="A360" s="48" t="n"/>
      <c r="B360" s="46" t="n"/>
      <c r="C360" s="46" t="n"/>
      <c r="D360" s="46" t="n"/>
      <c r="E360" s="49" t="n"/>
      <c r="F360" s="46" t="n"/>
      <c r="G360" s="41">
        <f>IF(A360="","",DATE(YEAR(A360),MONTH(A360),1))</f>
        <v/>
      </c>
      <c r="H360" s="46" t="n"/>
    </row>
    <row r="361" ht="14.25" customHeight="1" s="63">
      <c r="A361" s="48" t="n"/>
      <c r="B361" s="46" t="n"/>
      <c r="C361" s="46" t="n"/>
      <c r="D361" s="46" t="n"/>
      <c r="E361" s="49" t="n"/>
      <c r="F361" s="46" t="n"/>
      <c r="G361" s="41">
        <f>IF(A361="","",DATE(YEAR(A361),MONTH(A361),1))</f>
        <v/>
      </c>
      <c r="H361" s="46" t="n"/>
    </row>
    <row r="362" ht="14.25" customHeight="1" s="63">
      <c r="A362" s="48" t="n"/>
      <c r="B362" s="46" t="n"/>
      <c r="C362" s="46" t="n"/>
      <c r="D362" s="46" t="n"/>
      <c r="E362" s="49" t="n"/>
      <c r="F362" s="46" t="n"/>
      <c r="G362" s="41">
        <f>IF(A362="","",DATE(YEAR(A362),MONTH(A362),1))</f>
        <v/>
      </c>
      <c r="H362" s="46" t="n"/>
    </row>
    <row r="363" ht="14.25" customHeight="1" s="63">
      <c r="A363" s="48" t="n"/>
      <c r="B363" s="46" t="n"/>
      <c r="C363" s="46" t="n"/>
      <c r="D363" s="46" t="n"/>
      <c r="E363" s="49" t="n"/>
      <c r="F363" s="46" t="n"/>
      <c r="G363" s="41">
        <f>IF(A363="","",DATE(YEAR(A363),MONTH(A363),1))</f>
        <v/>
      </c>
      <c r="H363" s="46" t="n"/>
    </row>
    <row r="364" ht="14.25" customHeight="1" s="63">
      <c r="A364" s="48" t="n"/>
      <c r="B364" s="46" t="n"/>
      <c r="C364" s="46" t="n"/>
      <c r="D364" s="46" t="n"/>
      <c r="E364" s="49" t="n"/>
      <c r="F364" s="46" t="n"/>
      <c r="G364" s="41">
        <f>IF(A364="","",DATE(YEAR(A364),MONTH(A364),1))</f>
        <v/>
      </c>
      <c r="H364" s="46" t="n"/>
    </row>
    <row r="365" ht="14.25" customHeight="1" s="63">
      <c r="A365" s="48" t="n"/>
      <c r="B365" s="46" t="n"/>
      <c r="C365" s="46" t="n"/>
      <c r="D365" s="46" t="n"/>
      <c r="E365" s="49" t="n"/>
      <c r="F365" s="46" t="n"/>
      <c r="G365" s="41">
        <f>IF(A365="","",DATE(YEAR(A365),MONTH(A365),1))</f>
        <v/>
      </c>
      <c r="H365" s="46" t="n"/>
    </row>
    <row r="366" ht="14.25" customHeight="1" s="63">
      <c r="A366" s="48" t="n"/>
      <c r="B366" s="46" t="n"/>
      <c r="C366" s="46" t="n"/>
      <c r="D366" s="46" t="n"/>
      <c r="E366" s="49" t="n"/>
      <c r="F366" s="46" t="n"/>
      <c r="G366" s="41">
        <f>IF(A366="","",DATE(YEAR(A366),MONTH(A366),1))</f>
        <v/>
      </c>
      <c r="H366" s="46" t="n"/>
    </row>
    <row r="367" ht="14.25" customHeight="1" s="63">
      <c r="A367" s="48" t="n"/>
      <c r="B367" s="46" t="n"/>
      <c r="C367" s="46" t="n"/>
      <c r="D367" s="46" t="n"/>
      <c r="E367" s="49" t="n"/>
      <c r="F367" s="46" t="n"/>
      <c r="G367" s="41">
        <f>IF(A367="","",DATE(YEAR(A367),MONTH(A367),1))</f>
        <v/>
      </c>
      <c r="H367" s="46" t="n"/>
    </row>
    <row r="368" ht="14.25" customHeight="1" s="63">
      <c r="A368" s="48" t="n"/>
      <c r="B368" s="46" t="n"/>
      <c r="C368" s="46" t="n"/>
      <c r="D368" s="46" t="n"/>
      <c r="E368" s="49" t="n"/>
      <c r="F368" s="46" t="n"/>
      <c r="G368" s="41">
        <f>IF(A368="","",DATE(YEAR(A368),MONTH(A368),1))</f>
        <v/>
      </c>
      <c r="H368" s="46" t="n"/>
    </row>
    <row r="369" ht="14.25" customHeight="1" s="63">
      <c r="A369" s="48" t="n"/>
      <c r="B369" s="46" t="n"/>
      <c r="C369" s="46" t="n"/>
      <c r="D369" s="46" t="n"/>
      <c r="E369" s="49" t="n"/>
      <c r="F369" s="46" t="n"/>
      <c r="G369" s="41">
        <f>IF(A369="","",DATE(YEAR(A369),MONTH(A369),1))</f>
        <v/>
      </c>
      <c r="H369" s="46" t="n"/>
    </row>
    <row r="370" ht="14.25" customHeight="1" s="63">
      <c r="A370" s="48" t="n"/>
      <c r="B370" s="46" t="n"/>
      <c r="C370" s="46" t="n"/>
      <c r="D370" s="46" t="n"/>
      <c r="E370" s="49" t="n"/>
      <c r="F370" s="46" t="n"/>
      <c r="G370" s="41">
        <f>IF(A370="","",DATE(YEAR(A370),MONTH(A370),1))</f>
        <v/>
      </c>
      <c r="H370" s="46" t="n"/>
    </row>
    <row r="371" ht="14.25" customHeight="1" s="63">
      <c r="A371" s="48" t="n"/>
      <c r="B371" s="46" t="n"/>
      <c r="C371" s="46" t="n"/>
      <c r="D371" s="46" t="n"/>
      <c r="E371" s="49" t="n"/>
      <c r="F371" s="46" t="n"/>
      <c r="G371" s="41">
        <f>IF(A371="","",DATE(YEAR(A371),MONTH(A371),1))</f>
        <v/>
      </c>
      <c r="H371" s="46" t="n"/>
    </row>
    <row r="372" ht="14.25" customHeight="1" s="63">
      <c r="A372" s="48" t="n"/>
      <c r="B372" s="46" t="n"/>
      <c r="C372" s="46" t="n"/>
      <c r="D372" s="46" t="n"/>
      <c r="E372" s="49" t="n"/>
      <c r="F372" s="46" t="n"/>
      <c r="G372" s="41">
        <f>IF(A372="","",DATE(YEAR(A372),MONTH(A372),1))</f>
        <v/>
      </c>
      <c r="H372" s="46" t="n"/>
    </row>
    <row r="373" ht="14.25" customHeight="1" s="63">
      <c r="A373" s="48" t="n"/>
      <c r="B373" s="46" t="n"/>
      <c r="C373" s="46" t="n"/>
      <c r="D373" s="46" t="n"/>
      <c r="E373" s="49" t="n"/>
      <c r="F373" s="46" t="n"/>
      <c r="G373" s="41">
        <f>IF(A373="","",DATE(YEAR(A373),MONTH(A373),1))</f>
        <v/>
      </c>
      <c r="H373" s="46" t="n"/>
    </row>
    <row r="374" ht="14.25" customHeight="1" s="63">
      <c r="A374" s="48" t="n"/>
      <c r="B374" s="46" t="n"/>
      <c r="C374" s="46" t="n"/>
      <c r="D374" s="46" t="n"/>
      <c r="E374" s="49" t="n"/>
      <c r="F374" s="46" t="n"/>
      <c r="G374" s="41">
        <f>IF(A374="","",DATE(YEAR(A374),MONTH(A374),1))</f>
        <v/>
      </c>
      <c r="H374" s="46" t="n"/>
    </row>
    <row r="375" ht="14.25" customHeight="1" s="63">
      <c r="A375" s="48" t="n"/>
      <c r="B375" s="46" t="n"/>
      <c r="C375" s="46" t="n"/>
      <c r="D375" s="46" t="n"/>
      <c r="E375" s="49" t="n"/>
      <c r="F375" s="46" t="n"/>
      <c r="G375" s="41">
        <f>IF(A375="","",DATE(YEAR(A375),MONTH(A375),1))</f>
        <v/>
      </c>
      <c r="H375" s="46" t="n"/>
    </row>
    <row r="376" ht="14.25" customHeight="1" s="63">
      <c r="A376" s="48" t="n"/>
      <c r="B376" s="46" t="n"/>
      <c r="C376" s="46" t="n"/>
      <c r="D376" s="46" t="n"/>
      <c r="E376" s="49" t="n"/>
      <c r="F376" s="46" t="n"/>
      <c r="G376" s="41">
        <f>IF(A376="","",DATE(YEAR(A376),MONTH(A376),1))</f>
        <v/>
      </c>
      <c r="H376" s="46" t="n"/>
    </row>
    <row r="377" ht="14.25" customHeight="1" s="63">
      <c r="A377" s="48" t="n"/>
      <c r="B377" s="46" t="n"/>
      <c r="C377" s="46" t="n"/>
      <c r="D377" s="46" t="n"/>
      <c r="E377" s="49" t="n"/>
      <c r="F377" s="46" t="n"/>
      <c r="G377" s="41">
        <f>IF(A377="","",DATE(YEAR(A377),MONTH(A377),1))</f>
        <v/>
      </c>
      <c r="H377" s="46" t="n"/>
    </row>
    <row r="378" ht="14.25" customHeight="1" s="63">
      <c r="A378" s="48" t="n"/>
      <c r="B378" s="46" t="n"/>
      <c r="C378" s="46" t="n"/>
      <c r="D378" s="46" t="n"/>
      <c r="E378" s="49" t="n"/>
      <c r="F378" s="46" t="n"/>
      <c r="G378" s="41">
        <f>IF(A378="","",DATE(YEAR(A378),MONTH(A378),1))</f>
        <v/>
      </c>
      <c r="H378" s="46" t="n"/>
    </row>
    <row r="379" ht="14.25" customHeight="1" s="63">
      <c r="A379" s="48" t="n"/>
      <c r="B379" s="46" t="n"/>
      <c r="C379" s="46" t="n"/>
      <c r="D379" s="46" t="n"/>
      <c r="E379" s="49" t="n"/>
      <c r="F379" s="46" t="n"/>
      <c r="G379" s="41">
        <f>IF(A379="","",DATE(YEAR(A379),MONTH(A379),1))</f>
        <v/>
      </c>
      <c r="H379" s="46" t="n"/>
    </row>
    <row r="380" ht="14.25" customHeight="1" s="63">
      <c r="A380" s="48" t="n"/>
      <c r="B380" s="46" t="n"/>
      <c r="C380" s="46" t="n"/>
      <c r="D380" s="46" t="n"/>
      <c r="E380" s="49" t="n"/>
      <c r="F380" s="46" t="n"/>
      <c r="G380" s="41">
        <f>IF(A380="","",DATE(YEAR(A380),MONTH(A380),1))</f>
        <v/>
      </c>
      <c r="H380" s="46" t="n"/>
    </row>
    <row r="381" ht="14.25" customHeight="1" s="63">
      <c r="A381" s="48" t="n"/>
      <c r="B381" s="46" t="n"/>
      <c r="C381" s="46" t="n"/>
      <c r="D381" s="46" t="n"/>
      <c r="E381" s="49" t="n"/>
      <c r="F381" s="46" t="n"/>
      <c r="G381" s="41">
        <f>IF(A381="","",DATE(YEAR(A381),MONTH(A381),1))</f>
        <v/>
      </c>
      <c r="H381" s="46" t="n"/>
    </row>
    <row r="382" ht="14.25" customHeight="1" s="63">
      <c r="A382" s="48" t="n"/>
      <c r="B382" s="46" t="n"/>
      <c r="C382" s="46" t="n"/>
      <c r="D382" s="46" t="n"/>
      <c r="E382" s="49" t="n"/>
      <c r="F382" s="46" t="n"/>
      <c r="G382" s="41">
        <f>IF(A382="","",DATE(YEAR(A382),MONTH(A382),1))</f>
        <v/>
      </c>
      <c r="H382" s="46" t="n"/>
    </row>
    <row r="383" ht="14.25" customHeight="1" s="63">
      <c r="A383" s="48" t="n"/>
      <c r="B383" s="46" t="n"/>
      <c r="C383" s="46" t="n"/>
      <c r="D383" s="46" t="n"/>
      <c r="E383" s="49" t="n"/>
      <c r="F383" s="46" t="n"/>
      <c r="G383" s="41">
        <f>IF(A383="","",DATE(YEAR(A383),MONTH(A383),1))</f>
        <v/>
      </c>
      <c r="H383" s="46" t="n"/>
    </row>
    <row r="384" ht="14.25" customHeight="1" s="63">
      <c r="A384" s="48" t="n"/>
      <c r="B384" s="46" t="n"/>
      <c r="C384" s="46" t="n"/>
      <c r="D384" s="46" t="n"/>
      <c r="E384" s="49" t="n"/>
      <c r="F384" s="46" t="n"/>
      <c r="G384" s="41">
        <f>IF(A384="","",DATE(YEAR(A384),MONTH(A384),1))</f>
        <v/>
      </c>
      <c r="H384" s="46" t="n"/>
    </row>
    <row r="385" ht="14.25" customHeight="1" s="63">
      <c r="A385" s="48" t="n"/>
      <c r="B385" s="46" t="n"/>
      <c r="C385" s="46" t="n"/>
      <c r="D385" s="46" t="n"/>
      <c r="E385" s="49" t="n"/>
      <c r="F385" s="46" t="n"/>
      <c r="G385" s="41">
        <f>IF(A385="","",DATE(YEAR(A385),MONTH(A385),1))</f>
        <v/>
      </c>
      <c r="H385" s="46" t="n"/>
    </row>
    <row r="386" ht="14.25" customHeight="1" s="63">
      <c r="A386" s="48" t="n"/>
      <c r="B386" s="46" t="n"/>
      <c r="C386" s="46" t="n"/>
      <c r="D386" s="46" t="n"/>
      <c r="E386" s="49" t="n"/>
      <c r="F386" s="46" t="n"/>
      <c r="G386" s="41">
        <f>IF(A386="","",DATE(YEAR(A386),MONTH(A386),1))</f>
        <v/>
      </c>
      <c r="H386" s="46" t="n"/>
    </row>
    <row r="387" ht="14.25" customHeight="1" s="63">
      <c r="A387" s="48" t="n"/>
      <c r="B387" s="46" t="n"/>
      <c r="C387" s="46" t="n"/>
      <c r="D387" s="46" t="n"/>
      <c r="E387" s="49" t="n"/>
      <c r="F387" s="46" t="n"/>
      <c r="G387" s="41">
        <f>IF(A387="","",DATE(YEAR(A387),MONTH(A387),1))</f>
        <v/>
      </c>
      <c r="H387" s="46" t="n"/>
    </row>
    <row r="388" ht="14.25" customHeight="1" s="63">
      <c r="A388" s="48" t="n"/>
      <c r="B388" s="46" t="n"/>
      <c r="C388" s="46" t="n"/>
      <c r="D388" s="46" t="n"/>
      <c r="E388" s="49" t="n"/>
      <c r="F388" s="46" t="n"/>
      <c r="G388" s="41">
        <f>IF(A388="","",DATE(YEAR(A388),MONTH(A388),1))</f>
        <v/>
      </c>
      <c r="H388" s="46" t="n"/>
    </row>
    <row r="389" ht="14.25" customHeight="1" s="63">
      <c r="A389" s="48" t="n"/>
      <c r="B389" s="46" t="n"/>
      <c r="C389" s="46" t="n"/>
      <c r="D389" s="46" t="n"/>
      <c r="E389" s="49" t="n"/>
      <c r="F389" s="46" t="n"/>
      <c r="G389" s="41">
        <f>IF(A389="","",DATE(YEAR(A389),MONTH(A389),1))</f>
        <v/>
      </c>
      <c r="H389" s="46" t="n"/>
    </row>
    <row r="390" ht="14.25" customHeight="1" s="63">
      <c r="A390" s="48" t="n"/>
      <c r="B390" s="46" t="n"/>
      <c r="C390" s="46" t="n"/>
      <c r="D390" s="46" t="n"/>
      <c r="E390" s="49" t="n"/>
      <c r="F390" s="46" t="n"/>
      <c r="G390" s="41">
        <f>IF(A390="","",DATE(YEAR(A390),MONTH(A390),1))</f>
        <v/>
      </c>
      <c r="H390" s="46" t="n"/>
    </row>
    <row r="391" ht="14.25" customHeight="1" s="63">
      <c r="A391" s="48" t="n"/>
      <c r="B391" s="46" t="n"/>
      <c r="C391" s="46" t="n"/>
      <c r="D391" s="46" t="n"/>
      <c r="E391" s="49" t="n"/>
      <c r="F391" s="46" t="n"/>
      <c r="G391" s="41">
        <f>IF(A391="","",DATE(YEAR(A391),MONTH(A391),1))</f>
        <v/>
      </c>
      <c r="H391" s="46" t="n"/>
    </row>
    <row r="392" ht="14.25" customHeight="1" s="63">
      <c r="A392" s="48" t="n"/>
      <c r="B392" s="46" t="n"/>
      <c r="C392" s="46" t="n"/>
      <c r="D392" s="46" t="n"/>
      <c r="E392" s="49" t="n"/>
      <c r="F392" s="46" t="n"/>
      <c r="G392" s="41">
        <f>IF(A392="","",DATE(YEAR(A392),MONTH(A392),1))</f>
        <v/>
      </c>
      <c r="H392" s="46" t="n"/>
    </row>
    <row r="393" ht="14.25" customHeight="1" s="63">
      <c r="A393" s="48" t="n"/>
      <c r="B393" s="46" t="n"/>
      <c r="C393" s="46" t="n"/>
      <c r="D393" s="46" t="n"/>
      <c r="E393" s="49" t="n"/>
      <c r="F393" s="46" t="n"/>
      <c r="G393" s="41">
        <f>IF(A393="","",DATE(YEAR(A393),MONTH(A393),1))</f>
        <v/>
      </c>
      <c r="H393" s="46" t="n"/>
    </row>
    <row r="394" ht="14.25" customHeight="1" s="63">
      <c r="A394" s="48" t="n"/>
      <c r="B394" s="46" t="n"/>
      <c r="C394" s="46" t="n"/>
      <c r="D394" s="46" t="n"/>
      <c r="E394" s="49" t="n"/>
      <c r="F394" s="46" t="n"/>
      <c r="G394" s="41">
        <f>IF(A394="","",DATE(YEAR(A394),MONTH(A394),1))</f>
        <v/>
      </c>
      <c r="H394" s="46" t="n"/>
    </row>
    <row r="395" ht="14.25" customHeight="1" s="63">
      <c r="A395" s="48" t="n"/>
      <c r="B395" s="46" t="n"/>
      <c r="C395" s="46" t="n"/>
      <c r="D395" s="46" t="n"/>
      <c r="E395" s="49" t="n"/>
      <c r="F395" s="46" t="n"/>
      <c r="G395" s="41">
        <f>IF(A395="","",DATE(YEAR(A395),MONTH(A395),1))</f>
        <v/>
      </c>
      <c r="H395" s="46" t="n"/>
    </row>
    <row r="396" ht="14.25" customHeight="1" s="63">
      <c r="A396" s="48" t="n"/>
      <c r="B396" s="46" t="n"/>
      <c r="C396" s="46" t="n"/>
      <c r="D396" s="46" t="n"/>
      <c r="E396" s="49" t="n"/>
      <c r="F396" s="46" t="n"/>
      <c r="G396" s="41">
        <f>IF(A396="","",DATE(YEAR(A396),MONTH(A396),1))</f>
        <v/>
      </c>
      <c r="H396" s="46" t="n"/>
    </row>
    <row r="397" ht="14.25" customHeight="1" s="63">
      <c r="A397" s="48" t="n"/>
      <c r="B397" s="46" t="n"/>
      <c r="C397" s="46" t="n"/>
      <c r="D397" s="46" t="n"/>
      <c r="E397" s="49" t="n"/>
      <c r="F397" s="46" t="n"/>
      <c r="G397" s="41">
        <f>IF(A397="","",DATE(YEAR(A397),MONTH(A397),1))</f>
        <v/>
      </c>
      <c r="H397" s="46" t="n"/>
    </row>
    <row r="398" ht="14.25" customHeight="1" s="63">
      <c r="A398" s="48" t="n"/>
      <c r="B398" s="46" t="n"/>
      <c r="C398" s="46" t="n"/>
      <c r="D398" s="46" t="n"/>
      <c r="E398" s="49" t="n"/>
      <c r="F398" s="46" t="n"/>
      <c r="G398" s="41">
        <f>IF(A398="","",DATE(YEAR(A398),MONTH(A398),1))</f>
        <v/>
      </c>
      <c r="H398" s="46" t="n"/>
    </row>
    <row r="399" ht="14.25" customHeight="1" s="63">
      <c r="A399" s="48" t="n"/>
      <c r="B399" s="46" t="n"/>
      <c r="C399" s="46" t="n"/>
      <c r="D399" s="46" t="n"/>
      <c r="E399" s="49" t="n"/>
      <c r="F399" s="46" t="n"/>
      <c r="G399" s="41">
        <f>IF(A399="","",DATE(YEAR(A399),MONTH(A399),1))</f>
        <v/>
      </c>
      <c r="H399" s="46" t="n"/>
    </row>
    <row r="400" ht="14.25" customHeight="1" s="63">
      <c r="A400" s="48" t="n"/>
      <c r="B400" s="46" t="n"/>
      <c r="C400" s="46" t="n"/>
      <c r="D400" s="46" t="n"/>
      <c r="E400" s="49" t="n"/>
      <c r="F400" s="46" t="n"/>
      <c r="G400" s="41">
        <f>IF(A400="","",DATE(YEAR(A400),MONTH(A400),1))</f>
        <v/>
      </c>
      <c r="H400" s="46" t="n"/>
    </row>
    <row r="401" ht="14.25" customHeight="1" s="63">
      <c r="A401" s="48" t="n"/>
      <c r="B401" s="46" t="n"/>
      <c r="C401" s="46" t="n"/>
      <c r="D401" s="46" t="n"/>
      <c r="E401" s="49" t="n"/>
      <c r="F401" s="46" t="n"/>
      <c r="G401" s="41">
        <f>IF(A401="","",DATE(YEAR(A401),MONTH(A401),1))</f>
        <v/>
      </c>
      <c r="H401" s="46" t="n"/>
    </row>
    <row r="402" ht="14.25" customHeight="1" s="63">
      <c r="A402" s="48" t="n"/>
      <c r="B402" s="46" t="n"/>
      <c r="C402" s="46" t="n"/>
      <c r="D402" s="46" t="n"/>
      <c r="E402" s="49" t="n"/>
      <c r="F402" s="46" t="n"/>
      <c r="G402" s="41">
        <f>IF(A402="","",DATE(YEAR(A402),MONTH(A402),1))</f>
        <v/>
      </c>
      <c r="H402" s="46" t="n"/>
    </row>
    <row r="403" ht="14.25" customHeight="1" s="63">
      <c r="A403" s="48" t="n"/>
      <c r="B403" s="46" t="n"/>
      <c r="C403" s="46" t="n"/>
      <c r="D403" s="46" t="n"/>
      <c r="E403" s="49" t="n"/>
      <c r="F403" s="46" t="n"/>
      <c r="G403" s="41">
        <f>IF(A403="","",DATE(YEAR(A403),MONTH(A403),1))</f>
        <v/>
      </c>
      <c r="H403" s="46" t="n"/>
    </row>
    <row r="404" ht="14.25" customHeight="1" s="63">
      <c r="A404" s="48" t="n"/>
      <c r="B404" s="46" t="n"/>
      <c r="C404" s="46" t="n"/>
      <c r="D404" s="46" t="n"/>
      <c r="E404" s="49" t="n"/>
      <c r="F404" s="46" t="n"/>
      <c r="G404" s="41">
        <f>IF(A404="","",DATE(YEAR(A404),MONTH(A404),1))</f>
        <v/>
      </c>
      <c r="H404" s="46" t="n"/>
    </row>
    <row r="405" ht="14.25" customHeight="1" s="63">
      <c r="A405" s="48" t="n"/>
      <c r="B405" s="46" t="n"/>
      <c r="C405" s="46" t="n"/>
      <c r="D405" s="46" t="n"/>
      <c r="E405" s="49" t="n"/>
      <c r="F405" s="46" t="n"/>
      <c r="G405" s="41">
        <f>IF(A405="","",DATE(YEAR(A405),MONTH(A405),1))</f>
        <v/>
      </c>
      <c r="H405" s="46" t="n"/>
    </row>
    <row r="406" ht="14.25" customHeight="1" s="63">
      <c r="A406" s="48" t="n"/>
      <c r="B406" s="46" t="n"/>
      <c r="C406" s="46" t="n"/>
      <c r="D406" s="46" t="n"/>
      <c r="E406" s="49" t="n"/>
      <c r="F406" s="46" t="n"/>
      <c r="G406" s="41">
        <f>IF(A406="","",DATE(YEAR(A406),MONTH(A406),1))</f>
        <v/>
      </c>
      <c r="H406" s="46" t="n"/>
    </row>
    <row r="407" ht="14.25" customHeight="1" s="63">
      <c r="A407" s="48" t="n"/>
      <c r="B407" s="46" t="n"/>
      <c r="C407" s="46" t="n"/>
      <c r="D407" s="46" t="n"/>
      <c r="E407" s="49" t="n"/>
      <c r="F407" s="46" t="n"/>
      <c r="G407" s="41">
        <f>IF(A407="","",DATE(YEAR(A407),MONTH(A407),1))</f>
        <v/>
      </c>
      <c r="H407" s="46" t="n"/>
    </row>
    <row r="408" ht="14.25" customHeight="1" s="63">
      <c r="A408" s="48" t="n"/>
      <c r="B408" s="46" t="n"/>
      <c r="C408" s="46" t="n"/>
      <c r="D408" s="46" t="n"/>
      <c r="E408" s="49" t="n"/>
      <c r="F408" s="46" t="n"/>
      <c r="G408" s="41">
        <f>IF(A408="","",DATE(YEAR(A408),MONTH(A408),1))</f>
        <v/>
      </c>
      <c r="H408" s="46" t="n"/>
    </row>
    <row r="409" ht="14.25" customHeight="1" s="63">
      <c r="A409" s="48" t="n"/>
      <c r="B409" s="46" t="n"/>
      <c r="C409" s="46" t="n"/>
      <c r="D409" s="46" t="n"/>
      <c r="E409" s="49" t="n"/>
      <c r="F409" s="46" t="n"/>
      <c r="G409" s="41">
        <f>IF(A409="","",DATE(YEAR(A409),MONTH(A409),1))</f>
        <v/>
      </c>
      <c r="H409" s="46" t="n"/>
    </row>
    <row r="410" ht="14.25" customHeight="1" s="63">
      <c r="A410" s="48" t="n"/>
      <c r="B410" s="46" t="n"/>
      <c r="C410" s="46" t="n"/>
      <c r="D410" s="46" t="n"/>
      <c r="E410" s="49" t="n"/>
      <c r="F410" s="46" t="n"/>
      <c r="G410" s="41">
        <f>IF(A410="","",DATE(YEAR(A410),MONTH(A410),1))</f>
        <v/>
      </c>
      <c r="H410" s="46" t="n"/>
    </row>
    <row r="411" ht="14.25" customHeight="1" s="63">
      <c r="A411" s="48" t="n"/>
      <c r="B411" s="46" t="n"/>
      <c r="C411" s="46" t="n"/>
      <c r="D411" s="46" t="n"/>
      <c r="E411" s="49" t="n"/>
      <c r="F411" s="46" t="n"/>
      <c r="G411" s="41">
        <f>IF(A411="","",DATE(YEAR(A411),MONTH(A411),1))</f>
        <v/>
      </c>
      <c r="H411" s="46" t="n"/>
    </row>
    <row r="412" ht="14.25" customHeight="1" s="63">
      <c r="A412" s="48" t="n"/>
      <c r="B412" s="46" t="n"/>
      <c r="C412" s="46" t="n"/>
      <c r="D412" s="46" t="n"/>
      <c r="E412" s="49" t="n"/>
      <c r="F412" s="46" t="n"/>
      <c r="G412" s="41">
        <f>IF(A412="","",DATE(YEAR(A412),MONTH(A412),1))</f>
        <v/>
      </c>
      <c r="H412" s="46" t="n"/>
    </row>
    <row r="413" ht="14.25" customHeight="1" s="63">
      <c r="A413" s="48" t="n"/>
      <c r="B413" s="46" t="n"/>
      <c r="C413" s="46" t="n"/>
      <c r="D413" s="46" t="n"/>
      <c r="E413" s="49" t="n"/>
      <c r="F413" s="46" t="n"/>
      <c r="G413" s="41">
        <f>IF(A413="","",DATE(YEAR(A413),MONTH(A413),1))</f>
        <v/>
      </c>
      <c r="H413" s="46" t="n"/>
    </row>
    <row r="414" ht="14.25" customHeight="1" s="63">
      <c r="A414" s="48" t="n"/>
      <c r="B414" s="46" t="n"/>
      <c r="C414" s="46" t="n"/>
      <c r="D414" s="46" t="n"/>
      <c r="E414" s="49" t="n"/>
      <c r="F414" s="46" t="n"/>
      <c r="G414" s="41">
        <f>IF(A414="","",DATE(YEAR(A414),MONTH(A414),1))</f>
        <v/>
      </c>
      <c r="H414" s="46" t="n"/>
    </row>
    <row r="415" ht="14.25" customHeight="1" s="63">
      <c r="A415" s="48" t="n"/>
      <c r="B415" s="46" t="n"/>
      <c r="C415" s="46" t="n"/>
      <c r="D415" s="46" t="n"/>
      <c r="E415" s="49" t="n"/>
      <c r="F415" s="46" t="n"/>
      <c r="G415" s="41">
        <f>IF(A415="","",DATE(YEAR(A415),MONTH(A415),1))</f>
        <v/>
      </c>
      <c r="H415" s="46" t="n"/>
    </row>
    <row r="416" ht="14.25" customHeight="1" s="63">
      <c r="A416" s="48" t="n"/>
      <c r="B416" s="46" t="n"/>
      <c r="C416" s="46" t="n"/>
      <c r="D416" s="46" t="n"/>
      <c r="E416" s="49" t="n"/>
      <c r="F416" s="46" t="n"/>
      <c r="G416" s="41">
        <f>IF(A416="","",DATE(YEAR(A416),MONTH(A416),1))</f>
        <v/>
      </c>
      <c r="H416" s="46" t="n"/>
    </row>
    <row r="417" ht="14.25" customHeight="1" s="63">
      <c r="A417" s="48" t="n"/>
      <c r="B417" s="46" t="n"/>
      <c r="C417" s="46" t="n"/>
      <c r="D417" s="46" t="n"/>
      <c r="E417" s="49" t="n"/>
      <c r="F417" s="46" t="n"/>
      <c r="G417" s="41">
        <f>IF(A417="","",DATE(YEAR(A417),MONTH(A417),1))</f>
        <v/>
      </c>
      <c r="H417" s="46" t="n"/>
    </row>
    <row r="418" ht="14.25" customHeight="1" s="63">
      <c r="A418" s="48" t="n"/>
      <c r="B418" s="46" t="n"/>
      <c r="C418" s="46" t="n"/>
      <c r="D418" s="46" t="n"/>
      <c r="E418" s="49" t="n"/>
      <c r="F418" s="46" t="n"/>
      <c r="G418" s="41">
        <f>IF(A418="","",DATE(YEAR(A418),MONTH(A418),1))</f>
        <v/>
      </c>
      <c r="H418" s="46" t="n"/>
    </row>
    <row r="419" ht="14.25" customHeight="1" s="63">
      <c r="A419" s="48" t="n"/>
      <c r="B419" s="46" t="n"/>
      <c r="C419" s="46" t="n"/>
      <c r="D419" s="46" t="n"/>
      <c r="E419" s="49" t="n"/>
      <c r="F419" s="46" t="n"/>
      <c r="G419" s="41">
        <f>IF(A419="","",DATE(YEAR(A419),MONTH(A419),1))</f>
        <v/>
      </c>
      <c r="H419" s="46" t="n"/>
    </row>
    <row r="420" ht="14.25" customHeight="1" s="63">
      <c r="A420" s="48" t="n"/>
      <c r="B420" s="46" t="n"/>
      <c r="C420" s="46" t="n"/>
      <c r="D420" s="46" t="n"/>
      <c r="E420" s="49" t="n"/>
      <c r="F420" s="46" t="n"/>
      <c r="G420" s="41">
        <f>IF(A420="","",DATE(YEAR(A420),MONTH(A420),1))</f>
        <v/>
      </c>
      <c r="H420" s="46" t="n"/>
    </row>
    <row r="421" ht="14.25" customHeight="1" s="63">
      <c r="A421" s="48" t="n"/>
      <c r="B421" s="46" t="n"/>
      <c r="C421" s="46" t="n"/>
      <c r="D421" s="46" t="n"/>
      <c r="E421" s="49" t="n"/>
      <c r="F421" s="46" t="n"/>
      <c r="G421" s="41">
        <f>IF(A421="","",DATE(YEAR(A421),MONTH(A421),1))</f>
        <v/>
      </c>
      <c r="H421" s="46" t="n"/>
    </row>
    <row r="422" ht="14.25" customHeight="1" s="63">
      <c r="A422" s="48" t="n"/>
      <c r="B422" s="46" t="n"/>
      <c r="C422" s="46" t="n"/>
      <c r="D422" s="46" t="n"/>
      <c r="E422" s="49" t="n"/>
      <c r="F422" s="46" t="n"/>
      <c r="G422" s="41">
        <f>IF(A422="","",DATE(YEAR(A422),MONTH(A422),1))</f>
        <v/>
      </c>
      <c r="H422" s="46" t="n"/>
    </row>
    <row r="423" ht="14.25" customHeight="1" s="63">
      <c r="A423" s="48" t="n"/>
      <c r="B423" s="46" t="n"/>
      <c r="C423" s="46" t="n"/>
      <c r="D423" s="46" t="n"/>
      <c r="E423" s="49" t="n"/>
      <c r="F423" s="46" t="n"/>
      <c r="G423" s="41">
        <f>IF(A423="","",DATE(YEAR(A423),MONTH(A423),1))</f>
        <v/>
      </c>
      <c r="H423" s="46" t="n"/>
    </row>
    <row r="424" ht="14.25" customHeight="1" s="63">
      <c r="A424" s="48" t="n"/>
      <c r="B424" s="46" t="n"/>
      <c r="C424" s="46" t="n"/>
      <c r="D424" s="46" t="n"/>
      <c r="E424" s="49" t="n"/>
      <c r="F424" s="46" t="n"/>
      <c r="G424" s="41">
        <f>IF(A424="","",DATE(YEAR(A424),MONTH(A424),1))</f>
        <v/>
      </c>
      <c r="H424" s="46" t="n"/>
    </row>
    <row r="425" ht="14.25" customHeight="1" s="63">
      <c r="A425" s="48" t="n"/>
      <c r="B425" s="46" t="n"/>
      <c r="C425" s="46" t="n"/>
      <c r="D425" s="46" t="n"/>
      <c r="E425" s="49" t="n"/>
      <c r="F425" s="46" t="n"/>
      <c r="G425" s="41">
        <f>IF(A425="","",DATE(YEAR(A425),MONTH(A425),1))</f>
        <v/>
      </c>
      <c r="H425" s="46" t="n"/>
    </row>
    <row r="426" ht="14.25" customHeight="1" s="63">
      <c r="A426" s="48" t="n"/>
      <c r="B426" s="46" t="n"/>
      <c r="C426" s="46" t="n"/>
      <c r="D426" s="46" t="n"/>
      <c r="E426" s="49" t="n"/>
      <c r="F426" s="46" t="n"/>
      <c r="G426" s="41">
        <f>IF(A426="","",DATE(YEAR(A426),MONTH(A426),1))</f>
        <v/>
      </c>
      <c r="H426" s="46" t="n"/>
    </row>
    <row r="427" ht="14.25" customHeight="1" s="63">
      <c r="A427" s="48" t="n"/>
      <c r="B427" s="46" t="n"/>
      <c r="C427" s="46" t="n"/>
      <c r="D427" s="46" t="n"/>
      <c r="E427" s="49" t="n"/>
      <c r="F427" s="46" t="n"/>
      <c r="G427" s="41">
        <f>IF(A427="","",DATE(YEAR(A427),MONTH(A427),1))</f>
        <v/>
      </c>
      <c r="H427" s="46" t="n"/>
    </row>
    <row r="428" ht="14.25" customHeight="1" s="63">
      <c r="A428" s="48" t="n"/>
      <c r="B428" s="46" t="n"/>
      <c r="C428" s="46" t="n"/>
      <c r="D428" s="46" t="n"/>
      <c r="E428" s="49" t="n"/>
      <c r="F428" s="46" t="n"/>
      <c r="G428" s="41">
        <f>IF(A428="","",DATE(YEAR(A428),MONTH(A428),1))</f>
        <v/>
      </c>
      <c r="H428" s="46" t="n"/>
    </row>
    <row r="429" ht="14.25" customHeight="1" s="63">
      <c r="A429" s="48" t="n"/>
      <c r="B429" s="46" t="n"/>
      <c r="C429" s="46" t="n"/>
      <c r="D429" s="46" t="n"/>
      <c r="E429" s="49" t="n"/>
      <c r="F429" s="46" t="n"/>
      <c r="G429" s="41">
        <f>IF(A429="","",DATE(YEAR(A429),MONTH(A429),1))</f>
        <v/>
      </c>
      <c r="H429" s="46" t="n"/>
    </row>
    <row r="430" ht="14.25" customHeight="1" s="63">
      <c r="A430" s="48" t="n"/>
      <c r="B430" s="46" t="n"/>
      <c r="C430" s="46" t="n"/>
      <c r="D430" s="46" t="n"/>
      <c r="E430" s="49" t="n"/>
      <c r="F430" s="46" t="n"/>
      <c r="G430" s="41">
        <f>IF(A430="","",DATE(YEAR(A430),MONTH(A430),1))</f>
        <v/>
      </c>
      <c r="H430" s="46" t="n"/>
    </row>
    <row r="431" ht="14.25" customHeight="1" s="63">
      <c r="A431" s="48" t="n"/>
      <c r="B431" s="46" t="n"/>
      <c r="C431" s="46" t="n"/>
      <c r="D431" s="46" t="n"/>
      <c r="E431" s="49" t="n"/>
      <c r="F431" s="46" t="n"/>
      <c r="G431" s="41">
        <f>IF(A431="","",DATE(YEAR(A431),MONTH(A431),1))</f>
        <v/>
      </c>
      <c r="H431" s="46" t="n"/>
    </row>
    <row r="432" ht="14.25" customHeight="1" s="63">
      <c r="A432" s="48" t="n"/>
      <c r="B432" s="46" t="n"/>
      <c r="C432" s="46" t="n"/>
      <c r="D432" s="46" t="n"/>
      <c r="E432" s="49" t="n"/>
      <c r="F432" s="46" t="n"/>
      <c r="G432" s="41">
        <f>IF(A432="","",DATE(YEAR(A432),MONTH(A432),1))</f>
        <v/>
      </c>
      <c r="H432" s="46" t="n"/>
    </row>
    <row r="433" ht="14.25" customHeight="1" s="63">
      <c r="A433" s="48" t="n"/>
      <c r="B433" s="46" t="n"/>
      <c r="C433" s="46" t="n"/>
      <c r="D433" s="46" t="n"/>
      <c r="E433" s="49" t="n"/>
      <c r="F433" s="46" t="n"/>
      <c r="G433" s="41">
        <f>IF(A433="","",DATE(YEAR(A433),MONTH(A433),1))</f>
        <v/>
      </c>
      <c r="H433" s="46" t="n"/>
    </row>
    <row r="434" ht="14.25" customHeight="1" s="63">
      <c r="A434" s="48" t="n"/>
      <c r="B434" s="46" t="n"/>
      <c r="C434" s="46" t="n"/>
      <c r="D434" s="46" t="n"/>
      <c r="E434" s="49" t="n"/>
      <c r="F434" s="46" t="n"/>
      <c r="G434" s="41">
        <f>IF(A434="","",DATE(YEAR(A434),MONTH(A434),1))</f>
        <v/>
      </c>
      <c r="H434" s="46" t="n"/>
    </row>
    <row r="435" ht="14.25" customHeight="1" s="63">
      <c r="A435" s="48" t="n"/>
      <c r="B435" s="46" t="n"/>
      <c r="C435" s="46" t="n"/>
      <c r="D435" s="46" t="n"/>
      <c r="E435" s="49" t="n"/>
      <c r="F435" s="46" t="n"/>
      <c r="G435" s="41">
        <f>IF(A435="","",DATE(YEAR(A435),MONTH(A435),1))</f>
        <v/>
      </c>
      <c r="H435" s="46" t="n"/>
    </row>
    <row r="436" ht="14.25" customHeight="1" s="63">
      <c r="A436" s="48" t="n"/>
      <c r="B436" s="46" t="n"/>
      <c r="C436" s="46" t="n"/>
      <c r="D436" s="46" t="n"/>
      <c r="E436" s="49" t="n"/>
      <c r="F436" s="46" t="n"/>
      <c r="G436" s="41">
        <f>IF(A436="","",DATE(YEAR(A436),MONTH(A436),1))</f>
        <v/>
      </c>
      <c r="H436" s="46" t="n"/>
    </row>
    <row r="437" ht="14.25" customHeight="1" s="63">
      <c r="A437" s="48" t="n"/>
      <c r="B437" s="46" t="n"/>
      <c r="C437" s="46" t="n"/>
      <c r="D437" s="46" t="n"/>
      <c r="E437" s="49" t="n"/>
      <c r="F437" s="46" t="n"/>
      <c r="G437" s="41">
        <f>IF(A437="","",DATE(YEAR(A437),MONTH(A437),1))</f>
        <v/>
      </c>
      <c r="H437" s="46" t="n"/>
    </row>
    <row r="438" ht="14.25" customHeight="1" s="63">
      <c r="A438" s="48" t="n"/>
      <c r="B438" s="46" t="n"/>
      <c r="C438" s="46" t="n"/>
      <c r="D438" s="46" t="n"/>
      <c r="E438" s="49" t="n"/>
      <c r="F438" s="46" t="n"/>
      <c r="G438" s="41">
        <f>IF(A438="","",DATE(YEAR(A438),MONTH(A438),1))</f>
        <v/>
      </c>
      <c r="H438" s="46" t="n"/>
    </row>
    <row r="439" ht="14.25" customHeight="1" s="63">
      <c r="A439" s="48" t="n"/>
      <c r="B439" s="46" t="n"/>
      <c r="C439" s="46" t="n"/>
      <c r="D439" s="46" t="n"/>
      <c r="E439" s="49" t="n"/>
      <c r="F439" s="46" t="n"/>
      <c r="G439" s="41">
        <f>IF(A439="","",DATE(YEAR(A439),MONTH(A439),1))</f>
        <v/>
      </c>
      <c r="H439" s="46" t="n"/>
    </row>
    <row r="440" ht="14.25" customHeight="1" s="63">
      <c r="A440" s="48" t="n"/>
      <c r="B440" s="46" t="n"/>
      <c r="C440" s="46" t="n"/>
      <c r="D440" s="46" t="n"/>
      <c r="E440" s="49" t="n"/>
      <c r="F440" s="46" t="n"/>
      <c r="G440" s="41">
        <f>IF(A440="","",DATE(YEAR(A440),MONTH(A440),1))</f>
        <v/>
      </c>
      <c r="H440" s="46" t="n"/>
    </row>
    <row r="441" ht="14.25" customHeight="1" s="63">
      <c r="A441" s="48" t="n"/>
      <c r="B441" s="46" t="n"/>
      <c r="C441" s="46" t="n"/>
      <c r="D441" s="46" t="n"/>
      <c r="E441" s="49" t="n"/>
      <c r="F441" s="46" t="n"/>
      <c r="G441" s="41">
        <f>IF(A441="","",DATE(YEAR(A441),MONTH(A441),1))</f>
        <v/>
      </c>
      <c r="H441" s="46" t="n"/>
    </row>
    <row r="442" ht="14.25" customHeight="1" s="63">
      <c r="A442" s="48" t="n"/>
      <c r="B442" s="46" t="n"/>
      <c r="C442" s="46" t="n"/>
      <c r="D442" s="46" t="n"/>
      <c r="E442" s="49" t="n"/>
      <c r="F442" s="46" t="n"/>
      <c r="G442" s="41">
        <f>IF(A442="","",DATE(YEAR(A442),MONTH(A442),1))</f>
        <v/>
      </c>
      <c r="H442" s="46" t="n"/>
    </row>
    <row r="443" ht="14.25" customHeight="1" s="63">
      <c r="A443" s="48" t="n"/>
      <c r="B443" s="46" t="n"/>
      <c r="C443" s="46" t="n"/>
      <c r="D443" s="46" t="n"/>
      <c r="E443" s="49" t="n"/>
      <c r="F443" s="46" t="n"/>
      <c r="G443" s="41">
        <f>IF(A443="","",DATE(YEAR(A443),MONTH(A443),1))</f>
        <v/>
      </c>
      <c r="H443" s="46" t="n"/>
    </row>
    <row r="444" ht="14.25" customHeight="1" s="63">
      <c r="A444" s="48" t="n"/>
      <c r="B444" s="46" t="n"/>
      <c r="C444" s="46" t="n"/>
      <c r="D444" s="46" t="n"/>
      <c r="E444" s="49" t="n"/>
      <c r="F444" s="46" t="n"/>
      <c r="G444" s="41">
        <f>IF(A444="","",DATE(YEAR(A444),MONTH(A444),1))</f>
        <v/>
      </c>
      <c r="H444" s="46" t="n"/>
    </row>
    <row r="445" ht="14.25" customHeight="1" s="63">
      <c r="A445" s="48" t="n"/>
      <c r="B445" s="46" t="n"/>
      <c r="C445" s="46" t="n"/>
      <c r="D445" s="46" t="n"/>
      <c r="E445" s="49" t="n"/>
      <c r="F445" s="46" t="n"/>
      <c r="G445" s="41">
        <f>IF(A445="","",DATE(YEAR(A445),MONTH(A445),1))</f>
        <v/>
      </c>
      <c r="H445" s="46" t="n"/>
    </row>
    <row r="446" ht="14.25" customHeight="1" s="63">
      <c r="A446" s="48" t="n"/>
      <c r="B446" s="46" t="n"/>
      <c r="C446" s="46" t="n"/>
      <c r="D446" s="46" t="n"/>
      <c r="E446" s="49" t="n"/>
      <c r="F446" s="46" t="n"/>
      <c r="G446" s="41">
        <f>IF(A446="","",DATE(YEAR(A446),MONTH(A446),1))</f>
        <v/>
      </c>
      <c r="H446" s="46" t="n"/>
    </row>
    <row r="447" ht="14.25" customHeight="1" s="63">
      <c r="A447" s="48" t="n"/>
      <c r="B447" s="46" t="n"/>
      <c r="C447" s="46" t="n"/>
      <c r="D447" s="46" t="n"/>
      <c r="E447" s="49" t="n"/>
      <c r="F447" s="46" t="n"/>
      <c r="G447" s="41">
        <f>IF(A447="","",DATE(YEAR(A447),MONTH(A447),1))</f>
        <v/>
      </c>
      <c r="H447" s="46" t="n"/>
    </row>
    <row r="448" ht="14.25" customHeight="1" s="63">
      <c r="A448" s="48" t="n"/>
      <c r="B448" s="46" t="n"/>
      <c r="C448" s="46" t="n"/>
      <c r="D448" s="46" t="n"/>
      <c r="E448" s="49" t="n"/>
      <c r="F448" s="46" t="n"/>
      <c r="G448" s="41">
        <f>IF(A448="","",DATE(YEAR(A448),MONTH(A448),1))</f>
        <v/>
      </c>
      <c r="H448" s="46" t="n"/>
    </row>
    <row r="449" ht="14.25" customHeight="1" s="63">
      <c r="A449" s="48" t="n"/>
      <c r="B449" s="46" t="n"/>
      <c r="C449" s="46" t="n"/>
      <c r="D449" s="46" t="n"/>
      <c r="E449" s="49" t="n"/>
      <c r="F449" s="46" t="n"/>
      <c r="G449" s="41">
        <f>IF(A449="","",DATE(YEAR(A449),MONTH(A449),1))</f>
        <v/>
      </c>
      <c r="H449" s="46" t="n"/>
    </row>
    <row r="450" ht="14.25" customHeight="1" s="63">
      <c r="A450" s="48" t="n"/>
      <c r="B450" s="46" t="n"/>
      <c r="C450" s="46" t="n"/>
      <c r="D450" s="46" t="n"/>
      <c r="E450" s="49" t="n"/>
      <c r="F450" s="46" t="n"/>
      <c r="G450" s="41">
        <f>IF(A450="","",DATE(YEAR(A450),MONTH(A450),1))</f>
        <v/>
      </c>
      <c r="H450" s="46" t="n"/>
    </row>
    <row r="451" ht="14.25" customHeight="1" s="63">
      <c r="A451" s="48" t="n"/>
      <c r="B451" s="46" t="n"/>
      <c r="C451" s="46" t="n"/>
      <c r="D451" s="46" t="n"/>
      <c r="E451" s="49" t="n"/>
      <c r="F451" s="46" t="n"/>
      <c r="G451" s="41">
        <f>IF(A451="","",DATE(YEAR(A451),MONTH(A451),1))</f>
        <v/>
      </c>
      <c r="H451" s="46" t="n"/>
    </row>
    <row r="452" ht="14.25" customHeight="1" s="63">
      <c r="A452" s="48" t="n"/>
      <c r="B452" s="46" t="n"/>
      <c r="C452" s="46" t="n"/>
      <c r="D452" s="46" t="n"/>
      <c r="E452" s="49" t="n"/>
      <c r="F452" s="46" t="n"/>
      <c r="G452" s="41">
        <f>IF(A452="","",DATE(YEAR(A452),MONTH(A452),1))</f>
        <v/>
      </c>
      <c r="H452" s="46" t="n"/>
    </row>
    <row r="453" ht="14.25" customHeight="1" s="63">
      <c r="A453" s="48" t="n"/>
      <c r="B453" s="46" t="n"/>
      <c r="C453" s="46" t="n"/>
      <c r="D453" s="46" t="n"/>
      <c r="E453" s="49" t="n"/>
      <c r="F453" s="46" t="n"/>
      <c r="G453" s="41">
        <f>IF(A453="","",DATE(YEAR(A453),MONTH(A453),1))</f>
        <v/>
      </c>
      <c r="H453" s="46" t="n"/>
    </row>
    <row r="454" ht="14.25" customHeight="1" s="63">
      <c r="A454" s="48" t="n"/>
      <c r="B454" s="46" t="n"/>
      <c r="C454" s="46" t="n"/>
      <c r="D454" s="46" t="n"/>
      <c r="E454" s="49" t="n"/>
      <c r="F454" s="46" t="n"/>
      <c r="G454" s="41">
        <f>IF(A454="","",DATE(YEAR(A454),MONTH(A454),1))</f>
        <v/>
      </c>
      <c r="H454" s="46" t="n"/>
    </row>
    <row r="455" ht="14.25" customHeight="1" s="63">
      <c r="A455" s="48" t="n"/>
      <c r="B455" s="46" t="n"/>
      <c r="C455" s="46" t="n"/>
      <c r="D455" s="46" t="n"/>
      <c r="E455" s="49" t="n"/>
      <c r="F455" s="46" t="n"/>
      <c r="G455" s="41">
        <f>IF(A455="","",DATE(YEAR(A455),MONTH(A455),1))</f>
        <v/>
      </c>
      <c r="H455" s="46" t="n"/>
    </row>
    <row r="456" ht="14.25" customHeight="1" s="63">
      <c r="A456" s="48" t="n"/>
      <c r="B456" s="46" t="n"/>
      <c r="C456" s="46" t="n"/>
      <c r="D456" s="46" t="n"/>
      <c r="E456" s="49" t="n"/>
      <c r="F456" s="46" t="n"/>
      <c r="G456" s="41">
        <f>IF(A456="","",DATE(YEAR(A456),MONTH(A456),1))</f>
        <v/>
      </c>
      <c r="H456" s="46" t="n"/>
    </row>
    <row r="457" ht="14.25" customHeight="1" s="63">
      <c r="A457" s="48" t="n"/>
      <c r="B457" s="46" t="n"/>
      <c r="C457" s="46" t="n"/>
      <c r="D457" s="46" t="n"/>
      <c r="E457" s="49" t="n"/>
      <c r="F457" s="46" t="n"/>
      <c r="G457" s="41">
        <f>IF(A457="","",DATE(YEAR(A457),MONTH(A457),1))</f>
        <v/>
      </c>
      <c r="H457" s="46" t="n"/>
    </row>
    <row r="458" ht="14.25" customHeight="1" s="63">
      <c r="A458" s="48" t="n"/>
      <c r="B458" s="46" t="n"/>
      <c r="C458" s="46" t="n"/>
      <c r="D458" s="46" t="n"/>
      <c r="E458" s="49" t="n"/>
      <c r="F458" s="46" t="n"/>
      <c r="G458" s="41">
        <f>IF(A458="","",DATE(YEAR(A458),MONTH(A458),1))</f>
        <v/>
      </c>
      <c r="H458" s="46" t="n"/>
    </row>
    <row r="459" ht="14.25" customHeight="1" s="63">
      <c r="A459" s="48" t="n"/>
      <c r="B459" s="46" t="n"/>
      <c r="C459" s="46" t="n"/>
      <c r="D459" s="46" t="n"/>
      <c r="E459" s="49" t="n"/>
      <c r="F459" s="46" t="n"/>
      <c r="G459" s="41">
        <f>IF(A459="","",DATE(YEAR(A459),MONTH(A459),1))</f>
        <v/>
      </c>
      <c r="H459" s="46" t="n"/>
    </row>
    <row r="460" ht="14.25" customHeight="1" s="63">
      <c r="A460" s="48" t="n"/>
      <c r="B460" s="46" t="n"/>
      <c r="C460" s="46" t="n"/>
      <c r="D460" s="46" t="n"/>
      <c r="E460" s="49" t="n"/>
      <c r="F460" s="46" t="n"/>
      <c r="G460" s="41">
        <f>IF(A460="","",DATE(YEAR(A460),MONTH(A460),1))</f>
        <v/>
      </c>
      <c r="H460" s="46" t="n"/>
    </row>
    <row r="461" ht="14.25" customHeight="1" s="63">
      <c r="A461" s="48" t="n"/>
      <c r="B461" s="46" t="n"/>
      <c r="C461" s="46" t="n"/>
      <c r="D461" s="46" t="n"/>
      <c r="E461" s="49" t="n"/>
      <c r="F461" s="46" t="n"/>
      <c r="G461" s="41">
        <f>IF(A461="","",DATE(YEAR(A461),MONTH(A461),1))</f>
        <v/>
      </c>
      <c r="H461" s="46" t="n"/>
    </row>
    <row r="462" ht="14.25" customHeight="1" s="63">
      <c r="A462" s="48" t="n"/>
      <c r="B462" s="46" t="n"/>
      <c r="C462" s="46" t="n"/>
      <c r="D462" s="46" t="n"/>
      <c r="E462" s="49" t="n"/>
      <c r="F462" s="46" t="n"/>
      <c r="G462" s="41">
        <f>IF(A462="","",DATE(YEAR(A462),MONTH(A462),1))</f>
        <v/>
      </c>
      <c r="H462" s="46" t="n"/>
    </row>
    <row r="463" ht="14.25" customHeight="1" s="63">
      <c r="A463" s="48" t="n"/>
      <c r="B463" s="46" t="n"/>
      <c r="C463" s="46" t="n"/>
      <c r="D463" s="46" t="n"/>
      <c r="E463" s="49" t="n"/>
      <c r="F463" s="46" t="n"/>
      <c r="G463" s="41">
        <f>IF(A463="","",DATE(YEAR(A463),MONTH(A463),1))</f>
        <v/>
      </c>
      <c r="H463" s="46" t="n"/>
    </row>
    <row r="464" ht="14.25" customHeight="1" s="63">
      <c r="A464" s="48" t="n"/>
      <c r="B464" s="46" t="n"/>
      <c r="C464" s="46" t="n"/>
      <c r="D464" s="46" t="n"/>
      <c r="E464" s="49" t="n"/>
      <c r="F464" s="46" t="n"/>
      <c r="G464" s="41">
        <f>IF(A464="","",DATE(YEAR(A464),MONTH(A464),1))</f>
        <v/>
      </c>
      <c r="H464" s="46" t="n"/>
    </row>
    <row r="465" ht="14.25" customHeight="1" s="63">
      <c r="A465" s="48" t="n"/>
      <c r="B465" s="46" t="n"/>
      <c r="C465" s="46" t="n"/>
      <c r="D465" s="46" t="n"/>
      <c r="E465" s="49" t="n"/>
      <c r="F465" s="46" t="n"/>
      <c r="G465" s="41">
        <f>IF(A465="","",DATE(YEAR(A465),MONTH(A465),1))</f>
        <v/>
      </c>
      <c r="H465" s="46" t="n"/>
    </row>
    <row r="466" ht="14.25" customHeight="1" s="63">
      <c r="A466" s="48" t="n"/>
      <c r="B466" s="46" t="n"/>
      <c r="C466" s="46" t="n"/>
      <c r="D466" s="46" t="n"/>
      <c r="E466" s="49" t="n"/>
      <c r="F466" s="46" t="n"/>
      <c r="G466" s="41">
        <f>IF(A466="","",DATE(YEAR(A466),MONTH(A466),1))</f>
        <v/>
      </c>
      <c r="H466" s="46" t="n"/>
    </row>
    <row r="467" ht="14.25" customHeight="1" s="63">
      <c r="A467" s="48" t="n"/>
      <c r="B467" s="46" t="n"/>
      <c r="C467" s="46" t="n"/>
      <c r="D467" s="46" t="n"/>
      <c r="E467" s="49" t="n"/>
      <c r="F467" s="46" t="n"/>
      <c r="G467" s="41">
        <f>IF(A467="","",DATE(YEAR(A467),MONTH(A467),1))</f>
        <v/>
      </c>
      <c r="H467" s="46" t="n"/>
    </row>
    <row r="468" ht="14.25" customHeight="1" s="63">
      <c r="A468" s="48" t="n"/>
      <c r="B468" s="46" t="n"/>
      <c r="C468" s="46" t="n"/>
      <c r="D468" s="46" t="n"/>
      <c r="E468" s="49" t="n"/>
      <c r="F468" s="46" t="n"/>
      <c r="G468" s="41">
        <f>IF(A468="","",DATE(YEAR(A468),MONTH(A468),1))</f>
        <v/>
      </c>
      <c r="H468" s="46" t="n"/>
    </row>
    <row r="469" ht="14.25" customHeight="1" s="63">
      <c r="A469" s="48" t="n"/>
      <c r="B469" s="46" t="n"/>
      <c r="C469" s="46" t="n"/>
      <c r="D469" s="46" t="n"/>
      <c r="E469" s="49" t="n"/>
      <c r="F469" s="46" t="n"/>
      <c r="G469" s="41">
        <f>IF(A469="","",DATE(YEAR(A469),MONTH(A469),1))</f>
        <v/>
      </c>
      <c r="H469" s="46" t="n"/>
    </row>
    <row r="470" ht="14.25" customHeight="1" s="63">
      <c r="A470" s="48" t="n"/>
      <c r="B470" s="46" t="n"/>
      <c r="C470" s="46" t="n"/>
      <c r="D470" s="46" t="n"/>
      <c r="E470" s="49" t="n"/>
      <c r="F470" s="46" t="n"/>
      <c r="G470" s="41">
        <f>IF(A470="","",DATE(YEAR(A470),MONTH(A470),1))</f>
        <v/>
      </c>
      <c r="H470" s="46" t="n"/>
    </row>
    <row r="471" ht="14.25" customHeight="1" s="63">
      <c r="A471" s="48" t="n"/>
      <c r="B471" s="46" t="n"/>
      <c r="C471" s="46" t="n"/>
      <c r="D471" s="46" t="n"/>
      <c r="E471" s="49" t="n"/>
      <c r="F471" s="46" t="n"/>
      <c r="G471" s="41">
        <f>IF(A471="","",DATE(YEAR(A471),MONTH(A471),1))</f>
        <v/>
      </c>
      <c r="H471" s="46" t="n"/>
    </row>
    <row r="472" ht="14.25" customHeight="1" s="63">
      <c r="A472" s="48" t="n"/>
      <c r="B472" s="46" t="n"/>
      <c r="C472" s="46" t="n"/>
      <c r="D472" s="46" t="n"/>
      <c r="E472" s="49" t="n"/>
      <c r="F472" s="46" t="n"/>
      <c r="G472" s="41">
        <f>IF(A472="","",DATE(YEAR(A472),MONTH(A472),1))</f>
        <v/>
      </c>
      <c r="H472" s="46" t="n"/>
    </row>
    <row r="473" ht="14.25" customHeight="1" s="63">
      <c r="A473" s="48" t="n"/>
      <c r="B473" s="46" t="n"/>
      <c r="C473" s="46" t="n"/>
      <c r="D473" s="46" t="n"/>
      <c r="E473" s="49" t="n"/>
      <c r="F473" s="46" t="n"/>
      <c r="G473" s="41">
        <f>IF(A473="","",DATE(YEAR(A473),MONTH(A473),1))</f>
        <v/>
      </c>
      <c r="H473" s="46" t="n"/>
    </row>
    <row r="474" ht="14.25" customHeight="1" s="63">
      <c r="A474" s="48" t="n"/>
      <c r="B474" s="46" t="n"/>
      <c r="C474" s="46" t="n"/>
      <c r="D474" s="46" t="n"/>
      <c r="E474" s="49" t="n"/>
      <c r="F474" s="46" t="n"/>
      <c r="G474" s="41">
        <f>IF(A474="","",DATE(YEAR(A474),MONTH(A474),1))</f>
        <v/>
      </c>
      <c r="H474" s="46" t="n"/>
    </row>
    <row r="475" ht="14.25" customHeight="1" s="63">
      <c r="A475" s="48" t="n"/>
      <c r="B475" s="46" t="n"/>
      <c r="C475" s="46" t="n"/>
      <c r="D475" s="46" t="n"/>
      <c r="E475" s="49" t="n"/>
      <c r="F475" s="46" t="n"/>
      <c r="G475" s="41">
        <f>IF(A475="","",DATE(YEAR(A475),MONTH(A475),1))</f>
        <v/>
      </c>
      <c r="H475" s="46" t="n"/>
    </row>
    <row r="476" ht="14.25" customHeight="1" s="63">
      <c r="A476" s="48" t="n"/>
      <c r="B476" s="46" t="n"/>
      <c r="C476" s="46" t="n"/>
      <c r="D476" s="46" t="n"/>
      <c r="E476" s="49" t="n"/>
      <c r="F476" s="46" t="n"/>
      <c r="G476" s="41">
        <f>IF(A476="","",DATE(YEAR(A476),MONTH(A476),1))</f>
        <v/>
      </c>
      <c r="H476" s="46" t="n"/>
    </row>
    <row r="477" ht="14.25" customHeight="1" s="63">
      <c r="A477" s="48" t="n"/>
      <c r="B477" s="46" t="n"/>
      <c r="C477" s="46" t="n"/>
      <c r="D477" s="46" t="n"/>
      <c r="E477" s="49" t="n"/>
      <c r="F477" s="46" t="n"/>
      <c r="G477" s="41">
        <f>IF(A477="","",DATE(YEAR(A477),MONTH(A477),1))</f>
        <v/>
      </c>
      <c r="H477" s="46" t="n"/>
    </row>
    <row r="478" ht="14.25" customHeight="1" s="63">
      <c r="A478" s="48" t="n"/>
      <c r="B478" s="46" t="n"/>
      <c r="C478" s="46" t="n"/>
      <c r="D478" s="46" t="n"/>
      <c r="E478" s="49" t="n"/>
      <c r="F478" s="46" t="n"/>
      <c r="G478" s="41">
        <f>IF(A478="","",DATE(YEAR(A478),MONTH(A478),1))</f>
        <v/>
      </c>
      <c r="H478" s="46" t="n"/>
    </row>
    <row r="479" ht="14.25" customHeight="1" s="63">
      <c r="A479" s="48" t="n"/>
      <c r="B479" s="46" t="n"/>
      <c r="C479" s="46" t="n"/>
      <c r="D479" s="46" t="n"/>
      <c r="E479" s="49" t="n"/>
      <c r="F479" s="46" t="n"/>
      <c r="G479" s="41">
        <f>IF(A479="","",DATE(YEAR(A479),MONTH(A479),1))</f>
        <v/>
      </c>
      <c r="H479" s="46" t="n"/>
    </row>
    <row r="480" ht="14.25" customHeight="1" s="63">
      <c r="A480" s="48" t="n"/>
      <c r="B480" s="46" t="n"/>
      <c r="C480" s="46" t="n"/>
      <c r="D480" s="46" t="n"/>
      <c r="E480" s="49" t="n"/>
      <c r="F480" s="46" t="n"/>
      <c r="G480" s="41">
        <f>IF(A480="","",DATE(YEAR(A480),MONTH(A480),1))</f>
        <v/>
      </c>
      <c r="H480" s="46" t="n"/>
    </row>
    <row r="481" ht="14.25" customHeight="1" s="63">
      <c r="A481" s="48" t="n"/>
      <c r="B481" s="46" t="n"/>
      <c r="C481" s="46" t="n"/>
      <c r="D481" s="46" t="n"/>
      <c r="E481" s="49" t="n"/>
      <c r="F481" s="46" t="n"/>
      <c r="G481" s="41">
        <f>IF(A481="","",DATE(YEAR(A481),MONTH(A481),1))</f>
        <v/>
      </c>
      <c r="H481" s="46" t="n"/>
    </row>
    <row r="482" ht="14.25" customHeight="1" s="63">
      <c r="A482" s="48" t="n"/>
      <c r="B482" s="46" t="n"/>
      <c r="C482" s="46" t="n"/>
      <c r="D482" s="46" t="n"/>
      <c r="E482" s="49" t="n"/>
      <c r="F482" s="46" t="n"/>
      <c r="G482" s="41">
        <f>IF(A482="","",DATE(YEAR(A482),MONTH(A482),1))</f>
        <v/>
      </c>
      <c r="H482" s="46" t="n"/>
    </row>
    <row r="483" ht="14.25" customHeight="1" s="63">
      <c r="A483" s="48" t="n"/>
      <c r="B483" s="46" t="n"/>
      <c r="C483" s="46" t="n"/>
      <c r="D483" s="46" t="n"/>
      <c r="E483" s="49" t="n"/>
      <c r="F483" s="46" t="n"/>
      <c r="G483" s="41">
        <f>IF(A483="","",DATE(YEAR(A483),MONTH(A483),1))</f>
        <v/>
      </c>
      <c r="H483" s="46" t="n"/>
    </row>
    <row r="484" ht="14.25" customHeight="1" s="63">
      <c r="A484" s="48" t="n"/>
      <c r="B484" s="46" t="n"/>
      <c r="C484" s="46" t="n"/>
      <c r="D484" s="46" t="n"/>
      <c r="E484" s="49" t="n"/>
      <c r="F484" s="46" t="n"/>
      <c r="G484" s="41">
        <f>IF(A484="","",DATE(YEAR(A484),MONTH(A484),1))</f>
        <v/>
      </c>
      <c r="H484" s="46" t="n"/>
    </row>
    <row r="485" ht="14.25" customHeight="1" s="63">
      <c r="A485" s="48" t="n"/>
      <c r="B485" s="46" t="n"/>
      <c r="C485" s="46" t="n"/>
      <c r="D485" s="46" t="n"/>
      <c r="E485" s="49" t="n"/>
      <c r="F485" s="46" t="n"/>
      <c r="G485" s="41">
        <f>IF(A485="","",DATE(YEAR(A485),MONTH(A485),1))</f>
        <v/>
      </c>
      <c r="H485" s="46" t="n"/>
    </row>
    <row r="486" ht="14.25" customHeight="1" s="63">
      <c r="A486" s="48" t="n"/>
      <c r="B486" s="46" t="n"/>
      <c r="C486" s="46" t="n"/>
      <c r="D486" s="46" t="n"/>
      <c r="E486" s="49" t="n"/>
      <c r="F486" s="46" t="n"/>
      <c r="G486" s="41">
        <f>IF(A486="","",DATE(YEAR(A486),MONTH(A486),1))</f>
        <v/>
      </c>
      <c r="H486" s="46" t="n"/>
    </row>
    <row r="487" ht="14.25" customHeight="1" s="63">
      <c r="A487" s="48" t="n"/>
      <c r="B487" s="46" t="n"/>
      <c r="C487" s="46" t="n"/>
      <c r="D487" s="46" t="n"/>
      <c r="E487" s="49" t="n"/>
      <c r="F487" s="46" t="n"/>
      <c r="G487" s="41">
        <f>IF(A487="","",DATE(YEAR(A487),MONTH(A487),1))</f>
        <v/>
      </c>
      <c r="H487" s="46" t="n"/>
    </row>
    <row r="488" ht="14.25" customHeight="1" s="63">
      <c r="A488" s="48" t="n"/>
      <c r="B488" s="46" t="n"/>
      <c r="C488" s="46" t="n"/>
      <c r="D488" s="46" t="n"/>
      <c r="E488" s="49" t="n"/>
      <c r="F488" s="46" t="n"/>
      <c r="G488" s="41">
        <f>IF(A488="","",DATE(YEAR(A488),MONTH(A488),1))</f>
        <v/>
      </c>
      <c r="H488" s="46" t="n"/>
    </row>
    <row r="489" ht="14.25" customHeight="1" s="63">
      <c r="A489" s="48" t="n"/>
      <c r="B489" s="46" t="n"/>
      <c r="C489" s="46" t="n"/>
      <c r="D489" s="46" t="n"/>
      <c r="E489" s="49" t="n"/>
      <c r="F489" s="46" t="n"/>
      <c r="G489" s="41">
        <f>IF(A489="","",DATE(YEAR(A489),MONTH(A489),1))</f>
        <v/>
      </c>
      <c r="H489" s="46" t="n"/>
    </row>
    <row r="490" ht="14.25" customHeight="1" s="63">
      <c r="A490" s="48" t="n"/>
      <c r="B490" s="46" t="n"/>
      <c r="C490" s="46" t="n"/>
      <c r="D490" s="46" t="n"/>
      <c r="E490" s="49" t="n"/>
      <c r="F490" s="46" t="n"/>
      <c r="G490" s="41">
        <f>IF(A490="","",DATE(YEAR(A490),MONTH(A490),1))</f>
        <v/>
      </c>
      <c r="H490" s="46" t="n"/>
    </row>
    <row r="491" ht="14.25" customHeight="1" s="63">
      <c r="A491" s="48" t="n"/>
      <c r="B491" s="46" t="n"/>
      <c r="C491" s="46" t="n"/>
      <c r="D491" s="46" t="n"/>
      <c r="E491" s="49" t="n"/>
      <c r="F491" s="46" t="n"/>
      <c r="G491" s="41">
        <f>IF(A491="","",DATE(YEAR(A491),MONTH(A491),1))</f>
        <v/>
      </c>
      <c r="H491" s="46" t="n"/>
    </row>
    <row r="492" ht="14.25" customHeight="1" s="63">
      <c r="A492" s="48" t="n"/>
      <c r="B492" s="46" t="n"/>
      <c r="C492" s="46" t="n"/>
      <c r="D492" s="46" t="n"/>
      <c r="E492" s="49" t="n"/>
      <c r="F492" s="46" t="n"/>
      <c r="G492" s="41">
        <f>IF(A492="","",DATE(YEAR(A492),MONTH(A492),1))</f>
        <v/>
      </c>
      <c r="H492" s="46" t="n"/>
    </row>
    <row r="493" ht="14.25" customHeight="1" s="63">
      <c r="A493" s="48" t="n"/>
      <c r="B493" s="46" t="n"/>
      <c r="C493" s="46" t="n"/>
      <c r="D493" s="46" t="n"/>
      <c r="E493" s="49" t="n"/>
      <c r="F493" s="46" t="n"/>
      <c r="G493" s="41">
        <f>IF(A493="","",DATE(YEAR(A493),MONTH(A493),1))</f>
        <v/>
      </c>
      <c r="H493" s="46" t="n"/>
    </row>
    <row r="494" ht="14.25" customHeight="1" s="63">
      <c r="A494" s="48" t="n"/>
      <c r="B494" s="46" t="n"/>
      <c r="C494" s="46" t="n"/>
      <c r="D494" s="46" t="n"/>
      <c r="E494" s="49" t="n"/>
      <c r="F494" s="46" t="n"/>
      <c r="G494" s="41">
        <f>IF(A494="","",DATE(YEAR(A494),MONTH(A494),1))</f>
        <v/>
      </c>
      <c r="H494" s="46" t="n"/>
    </row>
    <row r="495" ht="14.25" customHeight="1" s="63">
      <c r="A495" s="48" t="n"/>
      <c r="B495" s="46" t="n"/>
      <c r="C495" s="46" t="n"/>
      <c r="D495" s="46" t="n"/>
      <c r="E495" s="49" t="n"/>
      <c r="F495" s="46" t="n"/>
      <c r="G495" s="41">
        <f>IF(A495="","",DATE(YEAR(A495),MONTH(A495),1))</f>
        <v/>
      </c>
      <c r="H495" s="46" t="n"/>
    </row>
    <row r="496" ht="14.25" customHeight="1" s="63">
      <c r="A496" s="48" t="n"/>
      <c r="B496" s="46" t="n"/>
      <c r="C496" s="46" t="n"/>
      <c r="D496" s="46" t="n"/>
      <c r="E496" s="49" t="n"/>
      <c r="F496" s="46" t="n"/>
      <c r="G496" s="41">
        <f>IF(A496="","",DATE(YEAR(A496),MONTH(A496),1))</f>
        <v/>
      </c>
      <c r="H496" s="46" t="n"/>
    </row>
    <row r="497" ht="14.25" customHeight="1" s="63">
      <c r="A497" s="48" t="n"/>
      <c r="B497" s="46" t="n"/>
      <c r="C497" s="46" t="n"/>
      <c r="D497" s="46" t="n"/>
      <c r="E497" s="49" t="n"/>
      <c r="F497" s="46" t="n"/>
      <c r="G497" s="41">
        <f>IF(A497="","",DATE(YEAR(A497),MONTH(A497),1))</f>
        <v/>
      </c>
      <c r="H497" s="46" t="n"/>
    </row>
    <row r="498" ht="14.25" customHeight="1" s="63">
      <c r="A498" s="48" t="n"/>
      <c r="B498" s="46" t="n"/>
      <c r="C498" s="46" t="n"/>
      <c r="D498" s="46" t="n"/>
      <c r="E498" s="49" t="n"/>
      <c r="F498" s="46" t="n"/>
      <c r="G498" s="41">
        <f>IF(A498="","",DATE(YEAR(A498),MONTH(A498),1))</f>
        <v/>
      </c>
      <c r="H498" s="46" t="n"/>
    </row>
    <row r="499" ht="14.25" customHeight="1" s="63">
      <c r="A499" s="48" t="n"/>
      <c r="B499" s="46" t="n"/>
      <c r="C499" s="46" t="n"/>
      <c r="D499" s="46" t="n"/>
      <c r="E499" s="49" t="n"/>
      <c r="F499" s="46" t="n"/>
      <c r="G499" s="41">
        <f>IF(A499="","",DATE(YEAR(A499),MONTH(A499),1))</f>
        <v/>
      </c>
      <c r="H499" s="46" t="n"/>
    </row>
    <row r="500" ht="14.25" customHeight="1" s="63">
      <c r="A500" s="48" t="n"/>
      <c r="B500" s="46" t="n"/>
      <c r="C500" s="46" t="n"/>
      <c r="D500" s="46" t="n"/>
      <c r="E500" s="49" t="n"/>
      <c r="F500" s="46" t="n"/>
      <c r="G500" s="41">
        <f>IF(A500="","",DATE(YEAR(A500),MONTH(A500),1))</f>
        <v/>
      </c>
      <c r="H500" s="46" t="n"/>
    </row>
    <row r="501" ht="14.25" customHeight="1" s="63">
      <c r="A501" s="48" t="n"/>
      <c r="B501" s="46" t="n"/>
      <c r="C501" s="46" t="n"/>
      <c r="D501" s="46" t="n"/>
      <c r="E501" s="49" t="n"/>
      <c r="F501" s="46" t="n"/>
      <c r="G501" s="41">
        <f>IF(A501="","",DATE(YEAR(A501),MONTH(A501),1))</f>
        <v/>
      </c>
      <c r="H501" s="46" t="n"/>
    </row>
    <row r="502" ht="14.25" customHeight="1" s="63"/>
    <row r="503" ht="14.25" customHeight="1" s="63"/>
    <row r="504" ht="14.25" customHeight="1" s="63"/>
    <row r="505" ht="14.25" customHeight="1" s="63"/>
    <row r="506" ht="14.25" customHeight="1" s="63"/>
    <row r="507" ht="14.25" customHeight="1" s="63"/>
    <row r="508" ht="14.25" customHeight="1" s="63"/>
    <row r="509" ht="14.25" customHeight="1" s="63"/>
    <row r="510" ht="14.25" customHeight="1" s="63"/>
    <row r="511" ht="14.25" customHeight="1" s="63"/>
    <row r="512" ht="14.25" customHeight="1" s="63"/>
    <row r="513" ht="14.25" customHeight="1" s="63"/>
    <row r="514" ht="14.25" customHeight="1" s="63"/>
    <row r="515" ht="14.25" customHeight="1" s="63"/>
    <row r="516" ht="14.25" customHeight="1" s="63"/>
    <row r="517" ht="14.25" customHeight="1" s="63"/>
    <row r="518" ht="14.25" customHeight="1" s="63"/>
    <row r="519" ht="14.25" customHeight="1" s="63"/>
    <row r="520" ht="14.25" customHeight="1" s="63"/>
    <row r="521" ht="14.25" customHeight="1" s="63"/>
    <row r="522" ht="14.25" customHeight="1" s="63"/>
    <row r="523" ht="14.25" customHeight="1" s="63"/>
    <row r="524" ht="14.25" customHeight="1" s="63"/>
    <row r="525" ht="14.25" customHeight="1" s="63"/>
    <row r="526" ht="14.25" customHeight="1" s="63"/>
    <row r="527" ht="14.25" customHeight="1" s="63"/>
    <row r="528" ht="14.25" customHeight="1" s="63"/>
    <row r="529" ht="14.25" customHeight="1" s="63"/>
    <row r="530" ht="14.25" customHeight="1" s="63"/>
    <row r="531" ht="14.25" customHeight="1" s="63"/>
    <row r="532" ht="14.25" customHeight="1" s="63"/>
    <row r="533" ht="14.25" customHeight="1" s="63"/>
    <row r="534" ht="14.25" customHeight="1" s="63"/>
    <row r="535" ht="14.25" customHeight="1" s="63"/>
    <row r="536" ht="14.25" customHeight="1" s="63"/>
    <row r="537" ht="14.25" customHeight="1" s="63"/>
    <row r="538" ht="14.25" customHeight="1" s="63"/>
    <row r="539" ht="14.25" customHeight="1" s="63"/>
    <row r="540" ht="14.25" customHeight="1" s="63"/>
    <row r="541" ht="14.25" customHeight="1" s="63"/>
    <row r="542" ht="14.25" customHeight="1" s="63"/>
    <row r="543" ht="14.25" customHeight="1" s="63"/>
    <row r="544" ht="14.25" customHeight="1" s="63"/>
    <row r="545" ht="14.25" customHeight="1" s="63"/>
    <row r="546" ht="14.25" customHeight="1" s="63"/>
    <row r="547" ht="14.25" customHeight="1" s="63"/>
    <row r="548" ht="14.25" customHeight="1" s="63"/>
    <row r="549" ht="14.25" customHeight="1" s="63"/>
    <row r="550" ht="14.25" customHeight="1" s="63"/>
    <row r="551" ht="14.25" customHeight="1" s="63"/>
    <row r="552" ht="14.25" customHeight="1" s="63"/>
    <row r="553" ht="14.25" customHeight="1" s="63"/>
    <row r="554" ht="14.25" customHeight="1" s="63"/>
    <row r="555" ht="14.25" customHeight="1" s="63"/>
    <row r="556" ht="14.25" customHeight="1" s="63"/>
    <row r="557" ht="14.25" customHeight="1" s="63"/>
    <row r="558" ht="14.25" customHeight="1" s="63"/>
    <row r="559" ht="14.25" customHeight="1" s="63"/>
    <row r="560" ht="14.25" customHeight="1" s="63"/>
    <row r="561" ht="14.25" customHeight="1" s="63"/>
    <row r="562" ht="14.25" customHeight="1" s="63"/>
    <row r="563" ht="14.25" customHeight="1" s="63"/>
    <row r="564" ht="14.25" customHeight="1" s="63"/>
    <row r="565" ht="14.25" customHeight="1" s="63"/>
    <row r="566" ht="14.25" customHeight="1" s="63"/>
    <row r="567" ht="14.25" customHeight="1" s="63"/>
    <row r="568" ht="14.25" customHeight="1" s="63"/>
    <row r="569" ht="14.25" customHeight="1" s="63"/>
    <row r="570" ht="14.25" customHeight="1" s="63"/>
    <row r="571" ht="14.25" customHeight="1" s="63"/>
    <row r="572" ht="14.25" customHeight="1" s="63"/>
    <row r="573" ht="14.25" customHeight="1" s="63"/>
    <row r="574" ht="14.25" customHeight="1" s="63"/>
    <row r="575" ht="14.25" customHeight="1" s="63"/>
    <row r="576" ht="14.25" customHeight="1" s="63"/>
    <row r="577" ht="14.25" customHeight="1" s="63"/>
    <row r="578" ht="14.25" customHeight="1" s="63"/>
    <row r="579" ht="14.25" customHeight="1" s="63"/>
    <row r="580" ht="14.25" customHeight="1" s="63"/>
    <row r="581" ht="14.25" customHeight="1" s="63"/>
    <row r="582" ht="14.25" customHeight="1" s="63"/>
    <row r="583" ht="14.25" customHeight="1" s="63"/>
    <row r="584" ht="14.25" customHeight="1" s="63"/>
    <row r="585" ht="14.25" customHeight="1" s="63"/>
    <row r="586" ht="14.25" customHeight="1" s="63"/>
    <row r="587" ht="14.25" customHeight="1" s="63"/>
    <row r="588" ht="14.25" customHeight="1" s="63"/>
    <row r="589" ht="14.25" customHeight="1" s="63"/>
    <row r="590" ht="14.25" customHeight="1" s="63"/>
    <row r="591" ht="14.25" customHeight="1" s="63"/>
    <row r="592" ht="14.25" customHeight="1" s="63"/>
    <row r="593" ht="14.25" customHeight="1" s="63"/>
    <row r="594" ht="14.25" customHeight="1" s="63"/>
    <row r="595" ht="14.25" customHeight="1" s="63"/>
    <row r="596" ht="14.25" customHeight="1" s="63"/>
    <row r="597" ht="14.25" customHeight="1" s="63"/>
    <row r="598" ht="14.25" customHeight="1" s="63"/>
    <row r="599" ht="14.25" customHeight="1" s="63"/>
    <row r="600" ht="14.25" customHeight="1" s="63"/>
    <row r="601" ht="14.25" customHeight="1" s="63"/>
    <row r="602" ht="14.25" customHeight="1" s="63"/>
    <row r="603" ht="14.25" customHeight="1" s="63"/>
    <row r="604" ht="14.25" customHeight="1" s="63"/>
    <row r="605" ht="14.25" customHeight="1" s="63"/>
    <row r="606" ht="14.25" customHeight="1" s="63"/>
    <row r="607" ht="14.25" customHeight="1" s="63"/>
    <row r="608" ht="14.25" customHeight="1" s="63"/>
    <row r="609" ht="14.25" customHeight="1" s="63"/>
    <row r="610" ht="14.25" customHeight="1" s="63"/>
    <row r="611" ht="14.25" customHeight="1" s="63"/>
    <row r="612" ht="14.25" customHeight="1" s="63"/>
    <row r="613" ht="14.25" customHeight="1" s="63"/>
    <row r="614" ht="14.25" customHeight="1" s="63"/>
    <row r="615" ht="14.25" customHeight="1" s="63"/>
    <row r="616" ht="14.25" customHeight="1" s="63"/>
    <row r="617" ht="14.25" customHeight="1" s="63"/>
    <row r="618" ht="14.25" customHeight="1" s="63"/>
    <row r="619" ht="14.25" customHeight="1" s="63"/>
    <row r="620" ht="14.25" customHeight="1" s="63"/>
    <row r="621" ht="14.25" customHeight="1" s="63"/>
    <row r="622" ht="14.25" customHeight="1" s="63"/>
    <row r="623" ht="14.25" customHeight="1" s="63"/>
    <row r="624" ht="14.25" customHeight="1" s="63"/>
    <row r="625" ht="14.25" customHeight="1" s="63"/>
    <row r="626" ht="14.25" customHeight="1" s="63"/>
    <row r="627" ht="14.25" customHeight="1" s="63"/>
    <row r="628" ht="14.25" customHeight="1" s="63"/>
    <row r="629" ht="14.25" customHeight="1" s="63"/>
    <row r="630" ht="14.25" customHeight="1" s="63"/>
    <row r="631" ht="14.25" customHeight="1" s="63"/>
    <row r="632" ht="14.25" customHeight="1" s="63"/>
    <row r="633" ht="14.25" customHeight="1" s="63"/>
    <row r="634" ht="14.25" customHeight="1" s="63"/>
    <row r="635" ht="14.25" customHeight="1" s="63"/>
    <row r="636" ht="14.25" customHeight="1" s="63"/>
    <row r="637" ht="14.25" customHeight="1" s="63"/>
    <row r="638" ht="14.25" customHeight="1" s="63"/>
    <row r="639" ht="14.25" customHeight="1" s="63"/>
    <row r="640" ht="14.25" customHeight="1" s="63"/>
    <row r="641" ht="14.25" customHeight="1" s="63"/>
    <row r="642" ht="14.25" customHeight="1" s="63"/>
    <row r="643" ht="14.25" customHeight="1" s="63"/>
    <row r="644" ht="14.25" customHeight="1" s="63"/>
    <row r="645" ht="14.25" customHeight="1" s="63"/>
    <row r="646" ht="14.25" customHeight="1" s="63"/>
    <row r="647" ht="14.25" customHeight="1" s="63"/>
    <row r="648" ht="14.25" customHeight="1" s="63"/>
    <row r="649" ht="14.25" customHeight="1" s="63"/>
    <row r="650" ht="14.25" customHeight="1" s="63"/>
    <row r="651" ht="14.25" customHeight="1" s="63"/>
    <row r="652" ht="14.25" customHeight="1" s="63"/>
    <row r="653" ht="14.25" customHeight="1" s="63"/>
    <row r="654" ht="14.25" customHeight="1" s="63"/>
    <row r="655" ht="14.25" customHeight="1" s="63"/>
    <row r="656" ht="14.25" customHeight="1" s="63"/>
    <row r="657" ht="14.25" customHeight="1" s="63"/>
    <row r="658" ht="14.25" customHeight="1" s="63"/>
    <row r="659" ht="14.25" customHeight="1" s="63"/>
    <row r="660" ht="14.25" customHeight="1" s="63"/>
    <row r="661" ht="14.25" customHeight="1" s="63"/>
    <row r="662" ht="14.25" customHeight="1" s="63"/>
    <row r="663" ht="14.25" customHeight="1" s="63"/>
    <row r="664" ht="14.25" customHeight="1" s="63"/>
    <row r="665" ht="14.25" customHeight="1" s="63"/>
    <row r="666" ht="14.25" customHeight="1" s="63"/>
    <row r="667" ht="14.25" customHeight="1" s="63"/>
    <row r="668" ht="14.25" customHeight="1" s="63"/>
    <row r="669" ht="14.25" customHeight="1" s="63"/>
    <row r="670" ht="14.25" customHeight="1" s="63"/>
    <row r="671" ht="14.25" customHeight="1" s="63"/>
    <row r="672" ht="14.25" customHeight="1" s="63"/>
    <row r="673" ht="14.25" customHeight="1" s="63"/>
    <row r="674" ht="14.25" customHeight="1" s="63"/>
    <row r="675" ht="14.25" customHeight="1" s="63"/>
    <row r="676" ht="14.25" customHeight="1" s="63"/>
    <row r="677" ht="14.25" customHeight="1" s="63"/>
    <row r="678" ht="14.25" customHeight="1" s="63"/>
    <row r="679" ht="14.25" customHeight="1" s="63"/>
    <row r="680" ht="14.25" customHeight="1" s="63"/>
    <row r="681" ht="14.25" customHeight="1" s="63"/>
    <row r="682" ht="14.25" customHeight="1" s="63"/>
    <row r="683" ht="14.25" customHeight="1" s="63"/>
    <row r="684" ht="14.25" customHeight="1" s="63"/>
    <row r="685" ht="14.25" customHeight="1" s="63"/>
    <row r="686" ht="14.25" customHeight="1" s="63"/>
    <row r="687" ht="14.25" customHeight="1" s="63"/>
    <row r="688" ht="14.25" customHeight="1" s="63"/>
    <row r="689" ht="14.25" customHeight="1" s="63"/>
    <row r="690" ht="14.25" customHeight="1" s="63"/>
    <row r="691" ht="14.25" customHeight="1" s="63"/>
    <row r="692" ht="14.25" customHeight="1" s="63"/>
    <row r="693" ht="14.25" customHeight="1" s="63"/>
    <row r="694" ht="14.25" customHeight="1" s="63"/>
    <row r="695" ht="14.25" customHeight="1" s="63"/>
    <row r="696" ht="14.25" customHeight="1" s="63"/>
    <row r="697" ht="14.25" customHeight="1" s="63"/>
    <row r="698" ht="14.25" customHeight="1" s="63"/>
    <row r="699" ht="14.25" customHeight="1" s="63"/>
    <row r="700" ht="14.25" customHeight="1" s="63"/>
    <row r="701" ht="14.25" customHeight="1" s="63"/>
    <row r="702" ht="14.25" customHeight="1" s="63"/>
    <row r="703" ht="14.25" customHeight="1" s="63"/>
    <row r="704" ht="14.25" customHeight="1" s="63"/>
    <row r="705" ht="14.25" customHeight="1" s="63"/>
    <row r="706" ht="14.25" customHeight="1" s="63"/>
    <row r="707" ht="14.25" customHeight="1" s="63"/>
    <row r="708" ht="14.25" customHeight="1" s="63"/>
    <row r="709" ht="14.25" customHeight="1" s="63"/>
    <row r="710" ht="14.25" customHeight="1" s="63"/>
    <row r="711" ht="14.25" customHeight="1" s="63"/>
    <row r="712" ht="14.25" customHeight="1" s="63"/>
    <row r="713" ht="14.25" customHeight="1" s="63"/>
    <row r="714" ht="14.25" customHeight="1" s="63"/>
    <row r="715" ht="14.25" customHeight="1" s="63"/>
    <row r="716" ht="14.25" customHeight="1" s="63"/>
    <row r="717" ht="14.25" customHeight="1" s="63"/>
    <row r="718" ht="14.25" customHeight="1" s="63"/>
    <row r="719" ht="14.25" customHeight="1" s="63"/>
    <row r="720" ht="14.25" customHeight="1" s="63"/>
    <row r="721" ht="14.25" customHeight="1" s="63"/>
    <row r="722" ht="14.25" customHeight="1" s="63"/>
    <row r="723" ht="14.25" customHeight="1" s="63"/>
    <row r="724" ht="14.25" customHeight="1" s="63"/>
    <row r="725" ht="14.25" customHeight="1" s="63"/>
    <row r="726" ht="14.25" customHeight="1" s="63"/>
    <row r="727" ht="14.25" customHeight="1" s="63"/>
    <row r="728" ht="14.25" customHeight="1" s="63"/>
    <row r="729" ht="14.25" customHeight="1" s="63"/>
    <row r="730" ht="14.25" customHeight="1" s="63"/>
    <row r="731" ht="14.25" customHeight="1" s="63"/>
    <row r="732" ht="14.25" customHeight="1" s="63"/>
    <row r="733" ht="14.25" customHeight="1" s="63"/>
    <row r="734" ht="14.25" customHeight="1" s="63"/>
    <row r="735" ht="14.25" customHeight="1" s="63"/>
    <row r="736" ht="14.25" customHeight="1" s="63"/>
    <row r="737" ht="14.25" customHeight="1" s="63"/>
    <row r="738" ht="14.25" customHeight="1" s="63"/>
    <row r="739" ht="14.25" customHeight="1" s="63"/>
    <row r="740" ht="14.25" customHeight="1" s="63"/>
    <row r="741" ht="14.25" customHeight="1" s="63"/>
    <row r="742" ht="14.25" customHeight="1" s="63"/>
    <row r="743" ht="14.25" customHeight="1" s="63"/>
    <row r="744" ht="14.25" customHeight="1" s="63"/>
    <row r="745" ht="14.25" customHeight="1" s="63"/>
    <row r="746" ht="14.25" customHeight="1" s="63"/>
    <row r="747" ht="14.25" customHeight="1" s="63"/>
    <row r="748" ht="14.25" customHeight="1" s="63"/>
    <row r="749" ht="14.25" customHeight="1" s="63"/>
    <row r="750" ht="14.25" customHeight="1" s="63"/>
    <row r="751" ht="14.25" customHeight="1" s="63"/>
    <row r="752" ht="14.25" customHeight="1" s="63"/>
    <row r="753" ht="14.25" customHeight="1" s="63"/>
    <row r="754" ht="14.25" customHeight="1" s="63"/>
    <row r="755" ht="14.25" customHeight="1" s="63"/>
    <row r="756" ht="14.25" customHeight="1" s="63"/>
    <row r="757" ht="14.25" customHeight="1" s="63"/>
    <row r="758" ht="14.25" customHeight="1" s="63"/>
    <row r="759" ht="14.25" customHeight="1" s="63"/>
    <row r="760" ht="14.25" customHeight="1" s="63"/>
    <row r="761" ht="14.25" customHeight="1" s="63"/>
    <row r="762" ht="14.25" customHeight="1" s="63"/>
    <row r="763" ht="14.25" customHeight="1" s="63"/>
    <row r="764" ht="14.25" customHeight="1" s="63"/>
    <row r="765" ht="14.25" customHeight="1" s="63"/>
    <row r="766" ht="14.25" customHeight="1" s="63"/>
    <row r="767" ht="14.25" customHeight="1" s="63"/>
    <row r="768" ht="14.25" customHeight="1" s="63"/>
    <row r="769" ht="14.25" customHeight="1" s="63"/>
    <row r="770" ht="14.25" customHeight="1" s="63"/>
    <row r="771" ht="14.25" customHeight="1" s="63"/>
    <row r="772" ht="14.25" customHeight="1" s="63"/>
    <row r="773" ht="14.25" customHeight="1" s="63"/>
    <row r="774" ht="14.25" customHeight="1" s="63"/>
    <row r="775" ht="14.25" customHeight="1" s="63"/>
    <row r="776" ht="14.25" customHeight="1" s="63"/>
    <row r="777" ht="14.25" customHeight="1" s="63"/>
    <row r="778" ht="14.25" customHeight="1" s="63"/>
    <row r="779" ht="14.25" customHeight="1" s="63"/>
    <row r="780" ht="14.25" customHeight="1" s="63"/>
    <row r="781" ht="14.25" customHeight="1" s="63"/>
    <row r="782" ht="14.25" customHeight="1" s="63"/>
    <row r="783" ht="14.25" customHeight="1" s="63"/>
    <row r="784" ht="14.25" customHeight="1" s="63"/>
    <row r="785" ht="14.25" customHeight="1" s="63"/>
    <row r="786" ht="14.25" customHeight="1" s="63"/>
    <row r="787" ht="14.25" customHeight="1" s="63"/>
    <row r="788" ht="14.25" customHeight="1" s="63"/>
    <row r="789" ht="14.25" customHeight="1" s="63"/>
    <row r="790" ht="14.25" customHeight="1" s="63"/>
    <row r="791" ht="14.25" customHeight="1" s="63"/>
    <row r="792" ht="14.25" customHeight="1" s="63"/>
    <row r="793" ht="14.25" customHeight="1" s="63"/>
    <row r="794" ht="14.25" customHeight="1" s="63"/>
    <row r="795" ht="14.25" customHeight="1" s="63"/>
    <row r="796" ht="14.25" customHeight="1" s="63"/>
    <row r="797" ht="14.25" customHeight="1" s="63"/>
    <row r="798" ht="14.25" customHeight="1" s="63"/>
    <row r="799" ht="14.25" customHeight="1" s="63"/>
    <row r="800" ht="14.25" customHeight="1" s="63"/>
    <row r="801" ht="14.25" customHeight="1" s="63"/>
    <row r="802" ht="14.25" customHeight="1" s="63"/>
    <row r="803" ht="14.25" customHeight="1" s="63"/>
    <row r="804" ht="14.25" customHeight="1" s="63"/>
    <row r="805" ht="14.25" customHeight="1" s="63"/>
    <row r="806" ht="14.25" customHeight="1" s="63"/>
    <row r="807" ht="14.25" customHeight="1" s="63"/>
    <row r="808" ht="14.25" customHeight="1" s="63"/>
    <row r="809" ht="14.25" customHeight="1" s="63"/>
    <row r="810" ht="14.25" customHeight="1" s="63"/>
    <row r="811" ht="14.25" customHeight="1" s="63"/>
    <row r="812" ht="14.25" customHeight="1" s="63"/>
    <row r="813" ht="14.25" customHeight="1" s="63"/>
    <row r="814" ht="14.25" customHeight="1" s="63"/>
    <row r="815" ht="14.25" customHeight="1" s="63"/>
    <row r="816" ht="14.25" customHeight="1" s="63"/>
    <row r="817" ht="14.25" customHeight="1" s="63"/>
    <row r="818" ht="14.25" customHeight="1" s="63"/>
    <row r="819" ht="14.25" customHeight="1" s="63"/>
    <row r="820" ht="14.25" customHeight="1" s="63"/>
    <row r="821" ht="14.25" customHeight="1" s="63"/>
    <row r="822" ht="14.25" customHeight="1" s="63"/>
    <row r="823" ht="14.25" customHeight="1" s="63"/>
    <row r="824" ht="14.25" customHeight="1" s="63"/>
    <row r="825" ht="14.25" customHeight="1" s="63"/>
    <row r="826" ht="14.25" customHeight="1" s="63"/>
    <row r="827" ht="14.25" customHeight="1" s="63"/>
    <row r="828" ht="14.25" customHeight="1" s="63"/>
    <row r="829" ht="14.25" customHeight="1" s="63"/>
    <row r="830" ht="14.25" customHeight="1" s="63"/>
    <row r="831" ht="14.25" customHeight="1" s="63"/>
    <row r="832" ht="14.25" customHeight="1" s="63"/>
    <row r="833" ht="14.25" customHeight="1" s="63"/>
    <row r="834" ht="14.25" customHeight="1" s="63"/>
    <row r="835" ht="14.25" customHeight="1" s="63"/>
    <row r="836" ht="14.25" customHeight="1" s="63"/>
    <row r="837" ht="14.25" customHeight="1" s="63"/>
    <row r="838" ht="14.25" customHeight="1" s="63"/>
    <row r="839" ht="14.25" customHeight="1" s="63"/>
    <row r="840" ht="14.25" customHeight="1" s="63"/>
    <row r="841" ht="14.25" customHeight="1" s="63"/>
    <row r="842" ht="14.25" customHeight="1" s="63"/>
    <row r="843" ht="14.25" customHeight="1" s="63"/>
    <row r="844" ht="14.25" customHeight="1" s="63"/>
    <row r="845" ht="14.25" customHeight="1" s="63"/>
    <row r="846" ht="14.25" customHeight="1" s="63"/>
    <row r="847" ht="14.25" customHeight="1" s="63"/>
    <row r="848" ht="14.25" customHeight="1" s="63"/>
    <row r="849" ht="14.25" customHeight="1" s="63"/>
    <row r="850" ht="14.25" customHeight="1" s="63"/>
    <row r="851" ht="14.25" customHeight="1" s="63"/>
    <row r="852" ht="14.25" customHeight="1" s="63"/>
    <row r="853" ht="14.25" customHeight="1" s="63"/>
    <row r="854" ht="14.25" customHeight="1" s="63"/>
    <row r="855" ht="14.25" customHeight="1" s="63"/>
    <row r="856" ht="14.25" customHeight="1" s="63"/>
    <row r="857" ht="14.25" customHeight="1" s="63"/>
    <row r="858" ht="14.25" customHeight="1" s="63"/>
    <row r="859" ht="14.25" customHeight="1" s="63"/>
    <row r="860" ht="14.25" customHeight="1" s="63"/>
    <row r="861" ht="14.25" customHeight="1" s="63"/>
    <row r="862" ht="14.25" customHeight="1" s="63"/>
    <row r="863" ht="14.25" customHeight="1" s="63"/>
    <row r="864" ht="14.25" customHeight="1" s="63"/>
    <row r="865" ht="14.25" customHeight="1" s="63"/>
    <row r="866" ht="14.25" customHeight="1" s="63"/>
    <row r="867" ht="14.25" customHeight="1" s="63"/>
    <row r="868" ht="14.25" customHeight="1" s="63"/>
    <row r="869" ht="14.25" customHeight="1" s="63"/>
    <row r="870" ht="14.25" customHeight="1" s="63"/>
    <row r="871" ht="14.25" customHeight="1" s="63"/>
    <row r="872" ht="14.25" customHeight="1" s="63"/>
    <row r="873" ht="14.25" customHeight="1" s="63"/>
    <row r="874" ht="14.25" customHeight="1" s="63"/>
    <row r="875" ht="14.25" customHeight="1" s="63"/>
    <row r="876" ht="14.25" customHeight="1" s="63"/>
    <row r="877" ht="14.25" customHeight="1" s="63"/>
    <row r="878" ht="14.25" customHeight="1" s="63"/>
    <row r="879" ht="14.25" customHeight="1" s="63"/>
    <row r="880" ht="14.25" customHeight="1" s="63"/>
    <row r="881" ht="14.25" customHeight="1" s="63"/>
    <row r="882" ht="14.25" customHeight="1" s="63"/>
    <row r="883" ht="14.25" customHeight="1" s="63"/>
    <row r="884" ht="14.25" customHeight="1" s="63"/>
    <row r="885" ht="14.25" customHeight="1" s="63"/>
    <row r="886" ht="14.25" customHeight="1" s="63"/>
    <row r="887" ht="14.25" customHeight="1" s="63"/>
    <row r="888" ht="14.25" customHeight="1" s="63"/>
    <row r="889" ht="14.25" customHeight="1" s="63"/>
    <row r="890" ht="14.25" customHeight="1" s="63"/>
    <row r="891" ht="14.25" customHeight="1" s="63"/>
    <row r="892" ht="14.25" customHeight="1" s="63"/>
    <row r="893" ht="14.25" customHeight="1" s="63"/>
    <row r="894" ht="14.25" customHeight="1" s="63"/>
    <row r="895" ht="14.25" customHeight="1" s="63"/>
    <row r="896" ht="14.25" customHeight="1" s="63"/>
    <row r="897" ht="14.25" customHeight="1" s="63"/>
    <row r="898" ht="14.25" customHeight="1" s="63"/>
    <row r="899" ht="14.25" customHeight="1" s="63"/>
    <row r="900" ht="14.25" customHeight="1" s="63"/>
    <row r="901" ht="14.25" customHeight="1" s="63"/>
    <row r="902" ht="14.25" customHeight="1" s="63"/>
    <row r="903" ht="14.25" customHeight="1" s="63"/>
    <row r="904" ht="14.25" customHeight="1" s="63"/>
    <row r="905" ht="14.25" customHeight="1" s="63"/>
    <row r="906" ht="14.25" customHeight="1" s="63"/>
    <row r="907" ht="14.25" customHeight="1" s="63"/>
    <row r="908" ht="14.25" customHeight="1" s="63"/>
    <row r="909" ht="14.25" customHeight="1" s="63"/>
    <row r="910" ht="14.25" customHeight="1" s="63"/>
    <row r="911" ht="14.25" customHeight="1" s="63"/>
    <row r="912" ht="14.25" customHeight="1" s="63"/>
    <row r="913" ht="14.25" customHeight="1" s="63"/>
    <row r="914" ht="14.25" customHeight="1" s="63"/>
    <row r="915" ht="14.25" customHeight="1" s="63"/>
    <row r="916" ht="14.25" customHeight="1" s="63"/>
    <row r="917" ht="14.25" customHeight="1" s="63"/>
    <row r="918" ht="14.25" customHeight="1" s="63"/>
    <row r="919" ht="14.25" customHeight="1" s="63"/>
    <row r="920" ht="14.25" customHeight="1" s="63"/>
    <row r="921" ht="14.25" customHeight="1" s="63"/>
    <row r="922" ht="14.25" customHeight="1" s="63"/>
    <row r="923" ht="14.25" customHeight="1" s="63"/>
    <row r="924" ht="14.25" customHeight="1" s="63"/>
    <row r="925" ht="14.25" customHeight="1" s="63"/>
    <row r="926" ht="14.25" customHeight="1" s="63"/>
    <row r="927" ht="14.25" customHeight="1" s="63"/>
    <row r="928" ht="14.25" customHeight="1" s="63"/>
    <row r="929" ht="14.25" customHeight="1" s="63"/>
    <row r="930" ht="14.25" customHeight="1" s="63"/>
    <row r="931" ht="14.25" customHeight="1" s="63"/>
    <row r="932" ht="14.25" customHeight="1" s="63"/>
    <row r="933" ht="14.25" customHeight="1" s="63"/>
    <row r="934" ht="14.25" customHeight="1" s="63"/>
    <row r="935" ht="14.25" customHeight="1" s="63"/>
    <row r="936" ht="14.25" customHeight="1" s="63"/>
    <row r="937" ht="14.25" customHeight="1" s="63"/>
    <row r="938" ht="14.25" customHeight="1" s="63"/>
    <row r="939" ht="14.25" customHeight="1" s="63"/>
    <row r="940" ht="14.25" customHeight="1" s="63"/>
    <row r="941" ht="14.25" customHeight="1" s="63"/>
    <row r="942" ht="14.25" customHeight="1" s="63"/>
    <row r="943" ht="14.25" customHeight="1" s="63"/>
    <row r="944" ht="14.25" customHeight="1" s="63"/>
    <row r="945" ht="14.25" customHeight="1" s="63"/>
    <row r="946" ht="14.25" customHeight="1" s="63"/>
    <row r="947" ht="14.25" customHeight="1" s="63"/>
    <row r="948" ht="14.25" customHeight="1" s="63"/>
    <row r="949" ht="14.25" customHeight="1" s="63"/>
    <row r="950" ht="14.25" customHeight="1" s="63"/>
    <row r="951" ht="14.25" customHeight="1" s="63"/>
    <row r="952" ht="14.25" customHeight="1" s="63"/>
    <row r="953" ht="14.25" customHeight="1" s="63"/>
    <row r="954" ht="14.25" customHeight="1" s="63"/>
    <row r="955" ht="14.25" customHeight="1" s="63"/>
    <row r="956" ht="14.25" customHeight="1" s="63"/>
    <row r="957" ht="14.25" customHeight="1" s="63"/>
    <row r="958" ht="14.25" customHeight="1" s="63"/>
    <row r="959" ht="14.25" customHeight="1" s="63"/>
    <row r="960" ht="14.25" customHeight="1" s="63"/>
    <row r="961" ht="14.25" customHeight="1" s="63"/>
    <row r="962" ht="14.25" customHeight="1" s="63"/>
    <row r="963" ht="14.25" customHeight="1" s="63"/>
    <row r="964" ht="14.25" customHeight="1" s="63"/>
    <row r="965" ht="14.25" customHeight="1" s="63"/>
    <row r="966" ht="14.25" customHeight="1" s="63"/>
    <row r="967" ht="14.25" customHeight="1" s="63"/>
    <row r="968" ht="14.25" customHeight="1" s="63"/>
    <row r="969" ht="14.25" customHeight="1" s="63"/>
    <row r="970" ht="14.25" customHeight="1" s="63"/>
    <row r="971" ht="14.25" customHeight="1" s="63"/>
    <row r="972" ht="14.25" customHeight="1" s="63"/>
    <row r="973" ht="14.25" customHeight="1" s="63"/>
    <row r="974" ht="14.25" customHeight="1" s="63"/>
    <row r="975" ht="14.25" customHeight="1" s="63"/>
    <row r="976" ht="14.25" customHeight="1" s="63"/>
    <row r="977" ht="14.25" customHeight="1" s="63"/>
    <row r="978" ht="14.25" customHeight="1" s="63"/>
    <row r="979" ht="14.25" customHeight="1" s="63"/>
    <row r="980" ht="14.25" customHeight="1" s="63"/>
    <row r="981" ht="14.25" customHeight="1" s="63"/>
    <row r="982" ht="14.25" customHeight="1" s="63"/>
    <row r="983" ht="14.25" customHeight="1" s="63"/>
    <row r="984" ht="14.25" customHeight="1" s="63"/>
    <row r="985" ht="14.25" customHeight="1" s="63"/>
    <row r="986" ht="14.25" customHeight="1" s="63"/>
    <row r="987" ht="14.25" customHeight="1" s="63"/>
    <row r="988" ht="14.25" customHeight="1" s="63"/>
    <row r="989" ht="14.25" customHeight="1" s="63"/>
    <row r="990" ht="14.25" customHeight="1" s="63"/>
    <row r="991" ht="14.25" customHeight="1" s="63"/>
    <row r="992" ht="14.25" customHeight="1" s="63"/>
    <row r="993" ht="14.25" customHeight="1" s="63"/>
    <row r="994" ht="14.25" customHeight="1" s="63"/>
    <row r="995" ht="14.25" customHeight="1" s="63"/>
    <row r="996" ht="14.25" customHeight="1" s="63"/>
    <row r="997" ht="14.25" customHeight="1" s="63"/>
    <row r="998" ht="14.25" customHeight="1" s="63"/>
    <row r="999" ht="14.25" customHeight="1" s="63"/>
    <row r="1000" ht="14.25" customHeight="1" s="63"/>
  </sheetData>
  <dataValidations count="2">
    <dataValidation sqref="C2:C501" showDropDown="0" showInputMessage="0" showErrorMessage="0" allowBlank="1" type="list">
      <formula1>'Paramètres'!$A$2:$A$9</formula1>
    </dataValidation>
    <dataValidation sqref="F2:F501" showDropDown="0" showInputMessage="0" showErrorMessage="0" allowBlank="1" type="list">
      <formula1>"Oui,Non"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63" min="1" max="2"/>
    <col width="24" customWidth="1" style="63" min="3" max="3"/>
    <col width="26" customWidth="1" style="63" min="4" max="4"/>
    <col width="38" customWidth="1" style="63" min="5" max="5"/>
    <col width="16" customWidth="1" style="63" min="6" max="6"/>
    <col width="12" customWidth="1" style="63" min="7" max="7"/>
    <col width="37" customWidth="1" style="63" min="8" max="8"/>
    <col width="28" customWidth="1" style="63" min="9" max="9"/>
    <col width="8.710000000000001" customWidth="1" style="63" min="10" max="26"/>
  </cols>
  <sheetData>
    <row r="1" ht="25.5" customHeight="1" s="63">
      <c r="A1" s="10" t="inlineStr">
        <is>
          <t>Date</t>
        </is>
      </c>
      <c r="B1" s="10" t="inlineStr">
        <is>
          <t>Client</t>
        </is>
      </c>
      <c r="C1" s="10" t="inlineStr">
        <is>
          <t>Fournisseur</t>
        </is>
      </c>
      <c r="D1" s="10" t="inlineStr">
        <is>
          <t>Catégorie</t>
        </is>
      </c>
      <c r="E1" s="10" t="inlineStr">
        <is>
          <t>Description</t>
        </is>
      </c>
      <c r="F1" s="10" t="inlineStr">
        <is>
          <t>Montant HT (€)</t>
        </is>
      </c>
      <c r="G1" s="10" t="inlineStr">
        <is>
          <t>Récurrent</t>
        </is>
      </c>
      <c r="H1" s="10" t="inlineStr">
        <is>
          <t>Mois d'entrée en compte</t>
        </is>
      </c>
      <c r="I1" s="10" t="inlineStr">
        <is>
          <t>Notes</t>
        </is>
      </c>
    </row>
    <row r="2" ht="14.25" customHeight="1" s="63">
      <c r="A2" s="47" t="n">
        <v>46113</v>
      </c>
      <c r="B2" s="50" t="inlineStr">
        <is>
          <t>Jennifer DA COSTA</t>
        </is>
      </c>
      <c r="C2" s="42" t="inlineStr">
        <is>
          <t>Équipe Madagascar</t>
        </is>
      </c>
      <c r="D2" s="42" t="inlineStr">
        <is>
          <t>Salaires Madagascar</t>
        </is>
      </c>
      <c r="E2" s="42" t="inlineStr">
        <is>
          <t>Salaire Jimmy</t>
        </is>
      </c>
      <c r="F2" s="40" t="n">
        <v>400</v>
      </c>
      <c r="G2" s="42" t="inlineStr">
        <is>
          <t>Oui</t>
        </is>
      </c>
      <c r="H2" s="41" t="n">
        <v>46113</v>
      </c>
      <c r="I2" s="42" t="inlineStr">
        <is>
          <t>Coût direct téléprospection</t>
        </is>
      </c>
    </row>
    <row r="3" ht="14.25" customHeight="1" s="63">
      <c r="A3" s="47" t="n">
        <v>46032</v>
      </c>
      <c r="B3" s="50" t="inlineStr">
        <is>
          <t>Jennifer DA COSTA</t>
        </is>
      </c>
      <c r="C3" s="42" t="inlineStr">
        <is>
          <t>SLACK</t>
        </is>
      </c>
      <c r="D3" s="42" t="inlineStr">
        <is>
          <t>Outils SaaS</t>
        </is>
      </c>
      <c r="E3" s="42" t="inlineStr">
        <is>
          <t>Plan Pro</t>
        </is>
      </c>
      <c r="F3" s="40" t="n">
        <v>10</v>
      </c>
      <c r="G3" s="42" t="inlineStr">
        <is>
          <t>Oui</t>
        </is>
      </c>
      <c r="H3" s="41" t="n">
        <v>46113</v>
      </c>
      <c r="I3" s="42" t="n"/>
    </row>
    <row r="4" ht="14.25" customHeight="1" s="63">
      <c r="A4" s="47" t="n">
        <v>46032</v>
      </c>
      <c r="B4" s="50" t="inlineStr">
        <is>
          <t>Jennifer DA COSTA</t>
        </is>
      </c>
      <c r="C4" s="42" t="inlineStr">
        <is>
          <t>Allô</t>
        </is>
      </c>
      <c r="D4" s="42" t="inlineStr">
        <is>
          <t>Outils SaaS</t>
        </is>
      </c>
      <c r="E4" s="42" t="inlineStr">
        <is>
          <t>admin</t>
        </is>
      </c>
      <c r="F4" s="40" t="n">
        <v>84</v>
      </c>
      <c r="G4" s="42" t="inlineStr">
        <is>
          <t>Oui</t>
        </is>
      </c>
      <c r="H4" s="41" t="n">
        <v>46113</v>
      </c>
      <c r="I4" s="42" t="n"/>
    </row>
    <row r="5" ht="14.25" customHeight="1" s="63">
      <c r="A5" s="48" t="n">
        <v>46113</v>
      </c>
      <c r="B5" s="50" t="inlineStr">
        <is>
          <t>Général</t>
        </is>
      </c>
      <c r="C5" s="46" t="inlineStr">
        <is>
          <t>Equipe Madagascar</t>
        </is>
      </c>
      <c r="D5" s="46" t="inlineStr">
        <is>
          <t>Salaires Madagascar</t>
        </is>
      </c>
      <c r="E5" s="46" t="inlineStr">
        <is>
          <t>Salaire Elicia</t>
        </is>
      </c>
      <c r="F5" s="49" t="n">
        <v>40</v>
      </c>
      <c r="G5" s="46" t="inlineStr">
        <is>
          <t>Non</t>
        </is>
      </c>
      <c r="H5" s="41">
        <f>IF(A5="","",DATE(YEAR(A5),MONTH(A5),1))</f>
        <v/>
      </c>
      <c r="I5" s="46" t="n"/>
    </row>
    <row r="6" ht="14.25" customHeight="1" s="63">
      <c r="A6" s="48" t="n">
        <v>46134</v>
      </c>
      <c r="B6" s="50" t="inlineStr">
        <is>
          <t>Louis</t>
        </is>
      </c>
      <c r="C6" s="46" t="n"/>
      <c r="D6" s="46" t="inlineStr">
        <is>
          <t>Salaire Thiago</t>
        </is>
      </c>
      <c r="E6" s="46" t="inlineStr">
        <is>
          <t>Salaire Thiago</t>
        </is>
      </c>
      <c r="F6" s="49" t="n">
        <v>450</v>
      </c>
      <c r="G6" s="46" t="inlineStr">
        <is>
          <t>Oui</t>
        </is>
      </c>
      <c r="H6" s="41" t="n">
        <v>46113</v>
      </c>
      <c r="I6" s="46" t="n"/>
    </row>
    <row r="7" ht="14.25" customHeight="1" s="63">
      <c r="A7" s="48" t="n">
        <v>46134</v>
      </c>
      <c r="B7" s="50" t="inlineStr">
        <is>
          <t>Général</t>
        </is>
      </c>
      <c r="C7" s="46" t="n"/>
      <c r="D7" s="46" t="inlineStr">
        <is>
          <t>Outils SaaS</t>
        </is>
      </c>
      <c r="E7" s="46" t="inlineStr">
        <is>
          <t>Claude API</t>
        </is>
      </c>
      <c r="F7" s="49" t="n">
        <v>20</v>
      </c>
      <c r="G7" s="46" t="inlineStr">
        <is>
          <t>Non</t>
        </is>
      </c>
      <c r="H7" s="41" t="n">
        <v>46082</v>
      </c>
      <c r="I7" s="46" t="n"/>
    </row>
    <row r="8" ht="14.25" customHeight="1" s="63">
      <c r="A8" s="48" t="n">
        <v>46134</v>
      </c>
      <c r="B8" s="50" t="inlineStr">
        <is>
          <t>Général</t>
        </is>
      </c>
      <c r="C8" s="46" t="n"/>
      <c r="D8" s="46" t="inlineStr">
        <is>
          <t>designer</t>
        </is>
      </c>
      <c r="E8" s="46" t="inlineStr">
        <is>
          <t>prestataire me designer</t>
        </is>
      </c>
      <c r="F8" s="49" t="n">
        <v>280</v>
      </c>
      <c r="G8" s="46" t="inlineStr">
        <is>
          <t>Non</t>
        </is>
      </c>
      <c r="H8" s="41" t="n">
        <v>46082</v>
      </c>
      <c r="I8" s="46" t="n"/>
    </row>
    <row r="9" ht="14.25" customHeight="1" s="63">
      <c r="A9" s="48" t="n">
        <v>46134</v>
      </c>
      <c r="B9" s="50" t="inlineStr">
        <is>
          <t>Louis</t>
        </is>
      </c>
      <c r="C9" s="46" t="n"/>
      <c r="D9" s="46" t="inlineStr">
        <is>
          <t>Salaires Madagascar</t>
        </is>
      </c>
      <c r="E9" s="46" t="inlineStr">
        <is>
          <t>Salaire futur TP pour Louis</t>
        </is>
      </c>
      <c r="F9" s="49" t="n">
        <v>400</v>
      </c>
      <c r="G9" s="46" t="inlineStr">
        <is>
          <t>Oui</t>
        </is>
      </c>
      <c r="H9" s="41" t="n">
        <v>46113</v>
      </c>
      <c r="I9" s="46" t="n"/>
    </row>
    <row r="10" ht="14.25" customHeight="1" s="63">
      <c r="A10" s="48" t="n">
        <v>46134</v>
      </c>
      <c r="B10" s="46" t="inlineStr">
        <is>
          <t>Louis</t>
        </is>
      </c>
      <c r="C10" s="46" t="n"/>
      <c r="D10" s="46" t="inlineStr">
        <is>
          <t>frais stripe</t>
        </is>
      </c>
      <c r="E10" s="46" t="inlineStr">
        <is>
          <t>commission stripe</t>
        </is>
      </c>
      <c r="F10" s="49" t="n">
        <v>30</v>
      </c>
      <c r="G10" s="46" t="inlineStr">
        <is>
          <t>Oui</t>
        </is>
      </c>
      <c r="H10" s="41">
        <f>IF(A10="","",DATE(YEAR(A10),MONTH(A10),1))</f>
        <v/>
      </c>
      <c r="I10" s="46" t="inlineStr">
        <is>
          <t>payé par Thiago</t>
        </is>
      </c>
    </row>
    <row r="11" ht="14.25" customHeight="1" s="63">
      <c r="A11" s="48" t="n">
        <v>46174</v>
      </c>
      <c r="B11" s="46" t="inlineStr">
        <is>
          <t>Pattom</t>
        </is>
      </c>
      <c r="C11" s="46" t="inlineStr">
        <is>
          <t>Equipe madagascar</t>
        </is>
      </c>
      <c r="D11" s="46" t="inlineStr">
        <is>
          <t>Salaires Madagascar</t>
        </is>
      </c>
      <c r="E11" s="46" t="inlineStr">
        <is>
          <t>Salaire futur TP pour Pattom</t>
        </is>
      </c>
      <c r="F11" s="49" t="n">
        <v>400</v>
      </c>
      <c r="G11" s="46" t="inlineStr">
        <is>
          <t>Oui</t>
        </is>
      </c>
      <c r="H11" s="41">
        <f>IF(A11="","",DATE(YEAR(A11),MONTH(A11),1))</f>
        <v/>
      </c>
      <c r="I11" s="46" t="inlineStr">
        <is>
          <t>1er TP</t>
        </is>
      </c>
    </row>
    <row r="12" ht="14.25" customHeight="1" s="63">
      <c r="A12" s="48" t="n">
        <v>46174</v>
      </c>
      <c r="B12" s="46" t="inlineStr">
        <is>
          <t>Pattom</t>
        </is>
      </c>
      <c r="C12" s="46" t="inlineStr">
        <is>
          <t>Equipe madagascar</t>
        </is>
      </c>
      <c r="D12" s="46" t="inlineStr">
        <is>
          <t>Salaires Madagascar</t>
        </is>
      </c>
      <c r="E12" s="46" t="inlineStr">
        <is>
          <t>Salaire futur TP pour Pattom</t>
        </is>
      </c>
      <c r="F12" s="49" t="n">
        <v>400</v>
      </c>
      <c r="G12" s="46" t="inlineStr">
        <is>
          <t>Oui</t>
        </is>
      </c>
      <c r="H12" s="41">
        <f>IF(A12="","",DATE(YEAR(A12),MONTH(A12),1))</f>
        <v/>
      </c>
      <c r="I12" s="46" t="inlineStr">
        <is>
          <t>2eme TP</t>
        </is>
      </c>
    </row>
    <row r="13" ht="14.25" customHeight="1" s="63">
      <c r="A13" s="48" t="n">
        <v>46136</v>
      </c>
      <c r="B13" s="46" t="inlineStr">
        <is>
          <t>Pattom</t>
        </is>
      </c>
      <c r="C13" s="46" t="inlineStr">
        <is>
          <t>slack</t>
        </is>
      </c>
      <c r="D13" s="46" t="inlineStr">
        <is>
          <t>Outils SaaS</t>
        </is>
      </c>
      <c r="E13" s="46" t="inlineStr">
        <is>
          <t>siège</t>
        </is>
      </c>
      <c r="F13" s="49" t="n">
        <v>20</v>
      </c>
      <c r="G13" s="46" t="inlineStr">
        <is>
          <t>Oui</t>
        </is>
      </c>
      <c r="H13" s="41">
        <f>IF(A13="","",DATE(YEAR(A13),MONTH(A13),1))</f>
        <v/>
      </c>
      <c r="I13" s="46" t="inlineStr">
        <is>
          <t>a confirmer</t>
        </is>
      </c>
    </row>
    <row r="14" ht="14.25" customHeight="1" s="63">
      <c r="A14" s="48" t="n">
        <v>46136</v>
      </c>
      <c r="B14" s="46" t="inlineStr">
        <is>
          <t>Pattom</t>
        </is>
      </c>
      <c r="C14" s="46" t="inlineStr">
        <is>
          <t>automatisation Linkedin</t>
        </is>
      </c>
      <c r="D14" s="46" t="inlineStr">
        <is>
          <t>Outils SaaS</t>
        </is>
      </c>
      <c r="E14" s="46" t="n"/>
      <c r="F14" s="49" t="n"/>
      <c r="G14" s="46" t="n"/>
      <c r="H14" s="41">
        <f>IF(A14="","",DATE(YEAR(A14),MONTH(A14),1))</f>
        <v/>
      </c>
      <c r="I14" s="46" t="n"/>
    </row>
    <row r="15" ht="14.25" customHeight="1" s="63">
      <c r="A15" s="48" t="n">
        <v>46136</v>
      </c>
      <c r="B15" s="46" t="inlineStr">
        <is>
          <t>Pattom</t>
        </is>
      </c>
      <c r="C15" s="46" t="inlineStr">
        <is>
          <t>NDF</t>
        </is>
      </c>
      <c r="D15" s="46" t="inlineStr">
        <is>
          <t>Frais bancaires</t>
        </is>
      </c>
      <c r="E15" s="46" t="inlineStr">
        <is>
          <t>repas midi</t>
        </is>
      </c>
      <c r="F15" s="49" t="n">
        <v>130</v>
      </c>
      <c r="G15" s="46" t="inlineStr">
        <is>
          <t>non</t>
        </is>
      </c>
      <c r="H15" s="41">
        <f>IF(A15="","",DATE(YEAR(A15),MONTH(A15),1))</f>
        <v/>
      </c>
      <c r="I15" s="46" t="inlineStr">
        <is>
          <t>invitation pattom</t>
        </is>
      </c>
    </row>
    <row r="16" ht="14.25" customHeight="1" s="63">
      <c r="A16" s="48" t="n">
        <v>46146</v>
      </c>
      <c r="B16" s="46" t="inlineStr">
        <is>
          <t>Louis</t>
        </is>
      </c>
      <c r="C16" s="46" t="inlineStr">
        <is>
          <t>Allô</t>
        </is>
      </c>
      <c r="D16" s="46" t="inlineStr">
        <is>
          <t>Outils SaaS</t>
        </is>
      </c>
      <c r="E16" s="46" t="inlineStr">
        <is>
          <t>siege Anthony</t>
        </is>
      </c>
      <c r="F16" s="49" t="n">
        <v>30</v>
      </c>
      <c r="G16" s="46" t="inlineStr">
        <is>
          <t>non</t>
        </is>
      </c>
      <c r="H16" s="41">
        <f>IF(A16="","",DATE(YEAR(A16),MONTH(A16),1))</f>
        <v/>
      </c>
      <c r="I16" s="46" t="n"/>
    </row>
    <row r="17" ht="14.25" customHeight="1" s="63">
      <c r="A17" s="48" t="n">
        <v>46154</v>
      </c>
      <c r="B17" s="48" t="n"/>
      <c r="C17" s="46" t="inlineStr">
        <is>
          <t>Allô</t>
        </is>
      </c>
      <c r="D17" s="46" t="inlineStr">
        <is>
          <t>Outils SaaS</t>
        </is>
      </c>
      <c r="E17" s="46" t="inlineStr">
        <is>
          <t>siege Anthony</t>
        </is>
      </c>
      <c r="F17" s="49" t="n">
        <v>35</v>
      </c>
      <c r="G17" s="46" t="inlineStr">
        <is>
          <t>non</t>
        </is>
      </c>
      <c r="H17" s="41">
        <f>IF(A17="","",DATE(YEAR(A17),MONTH(A17),1))</f>
        <v/>
      </c>
      <c r="I17" s="46" t="inlineStr">
        <is>
          <t>Angélica</t>
        </is>
      </c>
    </row>
    <row r="18" ht="14.25" customHeight="1" s="63">
      <c r="A18" s="51" t="n">
        <v>46154</v>
      </c>
      <c r="B18" s="46" t="inlineStr">
        <is>
          <t>Scalyx</t>
        </is>
      </c>
      <c r="C18" s="46" t="inlineStr">
        <is>
          <t>Equipe madagascar</t>
        </is>
      </c>
      <c r="D18" s="46" t="inlineStr">
        <is>
          <t>Salaires Madagascar</t>
        </is>
      </c>
      <c r="E18" s="46" t="inlineStr">
        <is>
          <t>1 salaire 1/2 temps</t>
        </is>
      </c>
      <c r="F18" s="49" t="n">
        <v>200</v>
      </c>
      <c r="G18" s="46" t="n"/>
      <c r="H18" s="41">
        <f>IF(A18="","",DATE(YEAR(A18),MONTH(A18),1))</f>
        <v/>
      </c>
      <c r="I18" s="46" t="inlineStr">
        <is>
          <t>Angélica</t>
        </is>
      </c>
    </row>
    <row r="19" ht="14.25" customHeight="1" s="63">
      <c r="A19" s="51" t="n">
        <v>46154</v>
      </c>
      <c r="B19" s="46" t="inlineStr">
        <is>
          <t>SPOM</t>
        </is>
      </c>
      <c r="C19" s="46" t="inlineStr">
        <is>
          <t>Equipe madagascar</t>
        </is>
      </c>
      <c r="D19" s="46" t="inlineStr">
        <is>
          <t>Salaires Madagascar</t>
        </is>
      </c>
      <c r="E19" s="46" t="inlineStr">
        <is>
          <t>1 salaire 1/2 temps</t>
        </is>
      </c>
      <c r="F19" s="49" t="n">
        <v>200</v>
      </c>
      <c r="G19" s="46" t="n"/>
      <c r="H19" s="41">
        <f>IF(A19="","",DATE(YEAR(A19),MONTH(A19),1))</f>
        <v/>
      </c>
      <c r="I19" s="46" t="inlineStr">
        <is>
          <t>Angélica</t>
        </is>
      </c>
    </row>
    <row r="20" ht="14.25" customHeight="1" s="63">
      <c r="A20" s="48" t="n"/>
      <c r="B20" s="46" t="n"/>
      <c r="C20" s="46" t="n"/>
      <c r="D20" s="46" t="n"/>
      <c r="E20" s="46" t="n"/>
      <c r="F20" s="49" t="n"/>
      <c r="G20" s="46" t="n"/>
      <c r="H20" s="41" t="n"/>
      <c r="I20" s="46" t="n"/>
    </row>
    <row r="21" ht="14.25" customHeight="1" s="63">
      <c r="A21" s="48" t="n"/>
      <c r="B21" s="48" t="n"/>
      <c r="C21" s="46" t="n"/>
      <c r="D21" s="46" t="n"/>
      <c r="E21" s="46" t="n"/>
      <c r="F21" s="49" t="n"/>
      <c r="G21" s="46" t="n"/>
      <c r="H21" s="41">
        <f>IF(A21="","",DATE(YEAR(A21),MONTH(A21),1))</f>
        <v/>
      </c>
      <c r="I21" s="46" t="n"/>
    </row>
    <row r="22" ht="14.25" customHeight="1" s="63">
      <c r="A22" s="48" t="n"/>
      <c r="B22" s="48" t="n"/>
      <c r="C22" s="46" t="n"/>
      <c r="D22" s="46" t="n"/>
      <c r="E22" s="46" t="n"/>
      <c r="F22" s="49" t="n"/>
      <c r="G22" s="46" t="n"/>
      <c r="H22" s="41">
        <f>IF(A22="","",DATE(YEAR(A22),MONTH(A22),1))</f>
        <v/>
      </c>
      <c r="I22" s="46" t="n"/>
    </row>
    <row r="23" ht="14.25" customHeight="1" s="63">
      <c r="A23" s="48" t="n"/>
      <c r="B23" s="48" t="n"/>
      <c r="C23" s="46" t="n"/>
      <c r="D23" s="46" t="n"/>
      <c r="E23" s="46" t="n"/>
      <c r="F23" s="49" t="n"/>
      <c r="G23" s="46" t="n"/>
      <c r="H23" s="41">
        <f>IF(A23="","",DATE(YEAR(A23),MONTH(A23),1))</f>
        <v/>
      </c>
      <c r="I23" s="46" t="n"/>
    </row>
    <row r="24" ht="14.25" customHeight="1" s="63">
      <c r="A24" s="48" t="n"/>
      <c r="B24" s="48" t="n"/>
      <c r="C24" s="46" t="n"/>
      <c r="D24" s="46" t="n"/>
      <c r="E24" s="46" t="n"/>
      <c r="F24" s="49" t="n"/>
      <c r="G24" s="46" t="n"/>
      <c r="H24" s="41">
        <f>IF(A24="","",DATE(YEAR(A24),MONTH(A24),1))</f>
        <v/>
      </c>
      <c r="I24" s="46" t="n"/>
    </row>
    <row r="25" ht="14.25" customHeight="1" s="63">
      <c r="A25" s="48" t="n"/>
      <c r="B25" s="48" t="n"/>
      <c r="C25" s="46" t="n"/>
      <c r="D25" s="46" t="n"/>
      <c r="E25" s="46" t="n"/>
      <c r="F25" s="49" t="n"/>
      <c r="G25" s="46" t="n"/>
      <c r="H25" s="41">
        <f>IF(A25="","",DATE(YEAR(A25),MONTH(A25),1))</f>
        <v/>
      </c>
      <c r="I25" s="46" t="n"/>
    </row>
    <row r="26" ht="14.25" customHeight="1" s="63">
      <c r="A26" s="48" t="n"/>
      <c r="B26" s="48" t="n"/>
      <c r="C26" s="46" t="n"/>
      <c r="D26" s="46" t="n"/>
      <c r="E26" s="46" t="n"/>
      <c r="F26" s="49" t="n"/>
      <c r="G26" s="46" t="n"/>
      <c r="H26" s="41">
        <f>IF(A26="","",DATE(YEAR(A26),MONTH(A26),1))</f>
        <v/>
      </c>
      <c r="I26" s="46" t="n"/>
    </row>
    <row r="27" ht="14.25" customHeight="1" s="63">
      <c r="A27" s="48" t="n"/>
      <c r="B27" s="48" t="n"/>
      <c r="C27" s="46" t="n"/>
      <c r="D27" s="46" t="n"/>
      <c r="E27" s="46" t="n"/>
      <c r="F27" s="49" t="n"/>
      <c r="G27" s="46" t="n"/>
      <c r="H27" s="41">
        <f>IF(A27="","",DATE(YEAR(A27),MONTH(A27),1))</f>
        <v/>
      </c>
      <c r="I27" s="46" t="n"/>
    </row>
    <row r="28" ht="14.25" customHeight="1" s="63">
      <c r="A28" s="48" t="n"/>
      <c r="B28" s="48" t="n"/>
      <c r="C28" s="46" t="n"/>
      <c r="D28" s="46" t="n"/>
      <c r="E28" s="46" t="n"/>
      <c r="F28" s="49" t="n"/>
      <c r="G28" s="46" t="n"/>
      <c r="H28" s="41">
        <f>IF(A28="","",DATE(YEAR(A28),MONTH(A28),1))</f>
        <v/>
      </c>
      <c r="I28" s="46" t="n"/>
    </row>
    <row r="29" ht="14.25" customHeight="1" s="63">
      <c r="A29" s="48" t="n"/>
      <c r="B29" s="48" t="n"/>
      <c r="C29" s="46" t="n"/>
      <c r="D29" s="46" t="n"/>
      <c r="E29" s="46" t="n"/>
      <c r="F29" s="49" t="n"/>
      <c r="G29" s="46" t="n"/>
      <c r="H29" s="41">
        <f>IF(A29="","",DATE(YEAR(A29),MONTH(A29),1))</f>
        <v/>
      </c>
      <c r="I29" s="46" t="n"/>
    </row>
    <row r="30" ht="14.25" customHeight="1" s="63">
      <c r="A30" s="48" t="n"/>
      <c r="B30" s="48" t="n"/>
      <c r="C30" s="46" t="n"/>
      <c r="D30" s="46" t="n"/>
      <c r="E30" s="46" t="n"/>
      <c r="F30" s="49" t="n"/>
      <c r="G30" s="46" t="n"/>
      <c r="H30" s="41">
        <f>IF(A30="","",DATE(YEAR(A30),MONTH(A30),1))</f>
        <v/>
      </c>
      <c r="I30" s="46" t="n"/>
    </row>
    <row r="31" ht="14.25" customHeight="1" s="63">
      <c r="A31" s="48" t="n"/>
      <c r="B31" s="48" t="n"/>
      <c r="C31" s="46" t="n"/>
      <c r="D31" s="46" t="n"/>
      <c r="E31" s="46" t="n"/>
      <c r="F31" s="49" t="n"/>
      <c r="G31" s="46" t="n"/>
      <c r="H31" s="41">
        <f>IF(A31="","",DATE(YEAR(A31),MONTH(A31),1))</f>
        <v/>
      </c>
      <c r="I31" s="46" t="n"/>
    </row>
    <row r="32" ht="14.25" customHeight="1" s="63">
      <c r="A32" s="48" t="n"/>
      <c r="B32" s="48" t="n"/>
      <c r="C32" s="46" t="n"/>
      <c r="D32" s="46" t="n"/>
      <c r="E32" s="46" t="n"/>
      <c r="F32" s="49" t="n"/>
      <c r="G32" s="46" t="n"/>
      <c r="H32" s="41">
        <f>IF(A32="","",DATE(YEAR(A32),MONTH(A32),1))</f>
        <v/>
      </c>
      <c r="I32" s="46" t="n"/>
    </row>
    <row r="33" ht="14.25" customHeight="1" s="63">
      <c r="A33" s="48" t="n"/>
      <c r="B33" s="48" t="n"/>
      <c r="C33" s="46" t="n"/>
      <c r="D33" s="46" t="n"/>
      <c r="E33" s="46" t="n"/>
      <c r="F33" s="49" t="n"/>
      <c r="G33" s="46" t="n"/>
      <c r="H33" s="41">
        <f>IF(A33="","",DATE(YEAR(A33),MONTH(A33),1))</f>
        <v/>
      </c>
      <c r="I33" s="46" t="n"/>
    </row>
    <row r="34" ht="14.25" customHeight="1" s="63">
      <c r="A34" s="48" t="n"/>
      <c r="B34" s="48" t="n"/>
      <c r="C34" s="46" t="n"/>
      <c r="D34" s="46" t="n"/>
      <c r="E34" s="46" t="n"/>
      <c r="F34" s="49" t="n"/>
      <c r="G34" s="46" t="n"/>
      <c r="H34" s="41">
        <f>IF(A34="","",DATE(YEAR(A34),MONTH(A34),1))</f>
        <v/>
      </c>
      <c r="I34" s="46" t="n"/>
    </row>
    <row r="35" ht="14.25" customHeight="1" s="63">
      <c r="A35" s="48" t="n"/>
      <c r="B35" s="48" t="n"/>
      <c r="C35" s="46" t="n"/>
      <c r="D35" s="46" t="n"/>
      <c r="E35" s="46" t="n"/>
      <c r="F35" s="49" t="n"/>
      <c r="G35" s="46" t="n"/>
      <c r="H35" s="41">
        <f>IF(A35="","",DATE(YEAR(A35),MONTH(A35),1))</f>
        <v/>
      </c>
      <c r="I35" s="46" t="n"/>
    </row>
    <row r="36" ht="14.25" customHeight="1" s="63">
      <c r="A36" s="48" t="n"/>
      <c r="B36" s="48" t="n"/>
      <c r="C36" s="46" t="n"/>
      <c r="D36" s="46" t="n"/>
      <c r="E36" s="46" t="n"/>
      <c r="F36" s="49" t="n"/>
      <c r="G36" s="46" t="n"/>
      <c r="H36" s="41">
        <f>IF(A36="","",DATE(YEAR(A36),MONTH(A36),1))</f>
        <v/>
      </c>
      <c r="I36" s="46" t="n"/>
    </row>
    <row r="37" ht="14.25" customHeight="1" s="63">
      <c r="A37" s="48" t="n"/>
      <c r="B37" s="48" t="n"/>
      <c r="C37" s="46" t="n"/>
      <c r="D37" s="46" t="n"/>
      <c r="E37" s="46" t="n"/>
      <c r="F37" s="49" t="n"/>
      <c r="G37" s="46" t="n"/>
      <c r="H37" s="41">
        <f>IF(A37="","",DATE(YEAR(A37),MONTH(A37),1))</f>
        <v/>
      </c>
      <c r="I37" s="46" t="n"/>
    </row>
    <row r="38" ht="14.25" customHeight="1" s="63">
      <c r="A38" s="48" t="n"/>
      <c r="B38" s="48" t="n"/>
      <c r="C38" s="46" t="n"/>
      <c r="D38" s="46" t="n"/>
      <c r="E38" s="46" t="n"/>
      <c r="F38" s="49" t="n"/>
      <c r="G38" s="46" t="n"/>
      <c r="H38" s="41">
        <f>IF(A38="","",DATE(YEAR(A38),MONTH(A38),1))</f>
        <v/>
      </c>
      <c r="I38" s="46" t="n"/>
    </row>
    <row r="39" ht="14.25" customHeight="1" s="63">
      <c r="A39" s="48" t="n"/>
      <c r="B39" s="48" t="n"/>
      <c r="C39" s="46" t="n"/>
      <c r="D39" s="46" t="n"/>
      <c r="E39" s="46" t="n"/>
      <c r="F39" s="49" t="n"/>
      <c r="G39" s="46" t="n"/>
      <c r="H39" s="41">
        <f>IF(A39="","",DATE(YEAR(A39),MONTH(A39),1))</f>
        <v/>
      </c>
      <c r="I39" s="46" t="n"/>
    </row>
    <row r="40" ht="14.25" customHeight="1" s="63">
      <c r="A40" s="48" t="n"/>
      <c r="B40" s="48" t="n"/>
      <c r="C40" s="46" t="n"/>
      <c r="D40" s="46" t="n"/>
      <c r="E40" s="46" t="n"/>
      <c r="F40" s="49" t="n"/>
      <c r="G40" s="46" t="n"/>
      <c r="H40" s="41">
        <f>IF(A40="","",DATE(YEAR(A40),MONTH(A40),1))</f>
        <v/>
      </c>
      <c r="I40" s="46" t="n"/>
    </row>
    <row r="41" ht="14.25" customHeight="1" s="63">
      <c r="A41" s="48" t="n"/>
      <c r="B41" s="48" t="n"/>
      <c r="C41" s="46" t="n"/>
      <c r="D41" s="46" t="n"/>
      <c r="E41" s="46" t="n"/>
      <c r="F41" s="49" t="n"/>
      <c r="G41" s="46" t="n"/>
      <c r="H41" s="41">
        <f>IF(A41="","",DATE(YEAR(A41),MONTH(A41),1))</f>
        <v/>
      </c>
      <c r="I41" s="46" t="n"/>
    </row>
    <row r="42" ht="14.25" customHeight="1" s="63">
      <c r="A42" s="48" t="n"/>
      <c r="B42" s="48" t="n"/>
      <c r="C42" s="46" t="n"/>
      <c r="D42" s="46" t="n"/>
      <c r="E42" s="46" t="n"/>
      <c r="F42" s="49" t="n"/>
      <c r="G42" s="46" t="n"/>
      <c r="H42" s="41">
        <f>IF(A42="","",DATE(YEAR(A42),MONTH(A42),1))</f>
        <v/>
      </c>
      <c r="I42" s="46" t="n"/>
    </row>
    <row r="43" ht="14.25" customHeight="1" s="63">
      <c r="A43" s="48" t="n"/>
      <c r="B43" s="48" t="n"/>
      <c r="C43" s="46" t="n"/>
      <c r="D43" s="46" t="n"/>
      <c r="E43" s="46" t="n"/>
      <c r="F43" s="49" t="n"/>
      <c r="G43" s="46" t="n"/>
      <c r="H43" s="41">
        <f>IF(A43="","",DATE(YEAR(A43),MONTH(A43),1))</f>
        <v/>
      </c>
      <c r="I43" s="46" t="n"/>
    </row>
    <row r="44" ht="14.25" customHeight="1" s="63">
      <c r="A44" s="48" t="n"/>
      <c r="B44" s="48" t="n"/>
      <c r="C44" s="46" t="n"/>
      <c r="D44" s="46" t="n"/>
      <c r="E44" s="46" t="n"/>
      <c r="F44" s="49" t="n"/>
      <c r="G44" s="46" t="n"/>
      <c r="H44" s="41">
        <f>IF(A44="","",DATE(YEAR(A44),MONTH(A44),1))</f>
        <v/>
      </c>
      <c r="I44" s="46" t="n"/>
    </row>
    <row r="45" ht="14.25" customHeight="1" s="63">
      <c r="A45" s="48" t="n"/>
      <c r="B45" s="48" t="n"/>
      <c r="C45" s="46" t="n"/>
      <c r="D45" s="46" t="n"/>
      <c r="E45" s="46" t="n"/>
      <c r="F45" s="49" t="n"/>
      <c r="G45" s="46" t="n"/>
      <c r="H45" s="41">
        <f>IF(A45="","",DATE(YEAR(A45),MONTH(A45),1))</f>
        <v/>
      </c>
      <c r="I45" s="46" t="n"/>
    </row>
    <row r="46" ht="14.25" customHeight="1" s="63">
      <c r="A46" s="48" t="n"/>
      <c r="B46" s="48" t="n"/>
      <c r="C46" s="46" t="n"/>
      <c r="D46" s="46" t="n"/>
      <c r="E46" s="46" t="n"/>
      <c r="F46" s="49" t="n"/>
      <c r="G46" s="46" t="n"/>
      <c r="H46" s="41">
        <f>IF(A46="","",DATE(YEAR(A46),MONTH(A46),1))</f>
        <v/>
      </c>
      <c r="I46" s="46" t="n"/>
    </row>
    <row r="47" ht="14.25" customHeight="1" s="63">
      <c r="A47" s="48" t="n"/>
      <c r="B47" s="48" t="n"/>
      <c r="C47" s="46" t="n"/>
      <c r="D47" s="46" t="n"/>
      <c r="E47" s="46" t="n"/>
      <c r="F47" s="49" t="n"/>
      <c r="G47" s="46" t="n"/>
      <c r="H47" s="41">
        <f>IF(A47="","",DATE(YEAR(A47),MONTH(A47),1))</f>
        <v/>
      </c>
      <c r="I47" s="46" t="n"/>
    </row>
    <row r="48" ht="14.25" customHeight="1" s="63">
      <c r="A48" s="48" t="n"/>
      <c r="B48" s="48" t="n"/>
      <c r="C48" s="46" t="n"/>
      <c r="D48" s="46" t="n"/>
      <c r="E48" s="46" t="n"/>
      <c r="F48" s="49" t="n"/>
      <c r="G48" s="46" t="n"/>
      <c r="H48" s="41">
        <f>IF(A48="","",DATE(YEAR(A48),MONTH(A48),1))</f>
        <v/>
      </c>
      <c r="I48" s="46" t="n"/>
    </row>
    <row r="49" ht="14.25" customHeight="1" s="63">
      <c r="A49" s="48" t="n"/>
      <c r="B49" s="48" t="n"/>
      <c r="C49" s="46" t="n"/>
      <c r="D49" s="46" t="n"/>
      <c r="E49" s="46" t="n"/>
      <c r="F49" s="49" t="n"/>
      <c r="G49" s="46" t="n"/>
      <c r="H49" s="41">
        <f>IF(A49="","",DATE(YEAR(A49),MONTH(A49),1))</f>
        <v/>
      </c>
      <c r="I49" s="46" t="n"/>
    </row>
    <row r="50" ht="14.25" customHeight="1" s="63">
      <c r="A50" s="48" t="n"/>
      <c r="B50" s="48" t="n"/>
      <c r="C50" s="46" t="n"/>
      <c r="D50" s="46" t="n"/>
      <c r="E50" s="46" t="n"/>
      <c r="F50" s="49" t="n"/>
      <c r="G50" s="46" t="n"/>
      <c r="H50" s="41">
        <f>IF(A50="","",DATE(YEAR(A50),MONTH(A50),1))</f>
        <v/>
      </c>
      <c r="I50" s="46" t="n"/>
    </row>
    <row r="51" ht="14.25" customHeight="1" s="63">
      <c r="A51" s="48" t="n"/>
      <c r="B51" s="48" t="n"/>
      <c r="C51" s="46" t="n"/>
      <c r="D51" s="46" t="n"/>
      <c r="E51" s="46" t="n"/>
      <c r="F51" s="49" t="n"/>
      <c r="G51" s="46" t="n"/>
      <c r="H51" s="41">
        <f>IF(A51="","",DATE(YEAR(A51),MONTH(A51),1))</f>
        <v/>
      </c>
      <c r="I51" s="46" t="n"/>
    </row>
    <row r="52" ht="14.25" customHeight="1" s="63">
      <c r="A52" s="48" t="n"/>
      <c r="B52" s="48" t="n"/>
      <c r="C52" s="46" t="n"/>
      <c r="D52" s="46" t="n"/>
      <c r="E52" s="46" t="n"/>
      <c r="F52" s="49" t="n"/>
      <c r="G52" s="46" t="n"/>
      <c r="H52" s="41">
        <f>IF(A52="","",DATE(YEAR(A52),MONTH(A52),1))</f>
        <v/>
      </c>
      <c r="I52" s="46" t="n"/>
    </row>
    <row r="53" ht="14.25" customHeight="1" s="63">
      <c r="A53" s="48" t="n"/>
      <c r="B53" s="48" t="n"/>
      <c r="C53" s="46" t="n"/>
      <c r="D53" s="46" t="n"/>
      <c r="E53" s="46" t="n"/>
      <c r="F53" s="49" t="n"/>
      <c r="G53" s="46" t="n"/>
      <c r="H53" s="41">
        <f>IF(A53="","",DATE(YEAR(A53),MONTH(A53),1))</f>
        <v/>
      </c>
      <c r="I53" s="46" t="n"/>
    </row>
    <row r="54" ht="14.25" customHeight="1" s="63">
      <c r="A54" s="48" t="n"/>
      <c r="B54" s="48" t="n"/>
      <c r="C54" s="46" t="n"/>
      <c r="D54" s="46" t="n"/>
      <c r="E54" s="46" t="n"/>
      <c r="F54" s="49" t="n"/>
      <c r="G54" s="46" t="n"/>
      <c r="H54" s="41">
        <f>IF(A54="","",DATE(YEAR(A54),MONTH(A54),1))</f>
        <v/>
      </c>
      <c r="I54" s="46" t="n"/>
    </row>
    <row r="55" ht="14.25" customHeight="1" s="63">
      <c r="A55" s="48" t="n"/>
      <c r="B55" s="48" t="n"/>
      <c r="C55" s="46" t="n"/>
      <c r="D55" s="46" t="n"/>
      <c r="E55" s="46" t="n"/>
      <c r="F55" s="49" t="n"/>
      <c r="G55" s="46" t="n"/>
      <c r="H55" s="41">
        <f>IF(A55="","",DATE(YEAR(A55),MONTH(A55),1))</f>
        <v/>
      </c>
      <c r="I55" s="46" t="n"/>
    </row>
    <row r="56" ht="14.25" customHeight="1" s="63">
      <c r="A56" s="48" t="n"/>
      <c r="B56" s="48" t="n"/>
      <c r="C56" s="46" t="n"/>
      <c r="D56" s="46" t="n"/>
      <c r="E56" s="46" t="n"/>
      <c r="F56" s="49" t="n"/>
      <c r="G56" s="46" t="n"/>
      <c r="H56" s="41">
        <f>IF(A56="","",DATE(YEAR(A56),MONTH(A56),1))</f>
        <v/>
      </c>
      <c r="I56" s="46" t="n"/>
    </row>
    <row r="57" ht="14.25" customHeight="1" s="63">
      <c r="A57" s="48" t="n"/>
      <c r="B57" s="48" t="n"/>
      <c r="C57" s="46" t="n"/>
      <c r="D57" s="46" t="n"/>
      <c r="E57" s="46" t="n"/>
      <c r="F57" s="49" t="n"/>
      <c r="G57" s="46" t="n"/>
      <c r="H57" s="41">
        <f>IF(A57="","",DATE(YEAR(A57),MONTH(A57),1))</f>
        <v/>
      </c>
      <c r="I57" s="46" t="n"/>
    </row>
    <row r="58" ht="14.25" customHeight="1" s="63">
      <c r="A58" s="48" t="n"/>
      <c r="B58" s="48" t="n"/>
      <c r="C58" s="46" t="n"/>
      <c r="D58" s="46" t="n"/>
      <c r="E58" s="46" t="n"/>
      <c r="F58" s="49" t="n"/>
      <c r="G58" s="46" t="n"/>
      <c r="H58" s="41">
        <f>IF(A58="","",DATE(YEAR(A58),MONTH(A58),1))</f>
        <v/>
      </c>
      <c r="I58" s="46" t="n"/>
    </row>
    <row r="59" ht="14.25" customHeight="1" s="63">
      <c r="A59" s="48" t="n"/>
      <c r="B59" s="48" t="n"/>
      <c r="C59" s="46" t="n"/>
      <c r="D59" s="46" t="n"/>
      <c r="E59" s="46" t="n"/>
      <c r="F59" s="49" t="n"/>
      <c r="G59" s="46" t="n"/>
      <c r="H59" s="41">
        <f>IF(A59="","",DATE(YEAR(A59),MONTH(A59),1))</f>
        <v/>
      </c>
      <c r="I59" s="46" t="n"/>
    </row>
    <row r="60" ht="14.25" customHeight="1" s="63">
      <c r="A60" s="48" t="n"/>
      <c r="B60" s="48" t="n"/>
      <c r="C60" s="46" t="n"/>
      <c r="D60" s="46" t="n"/>
      <c r="E60" s="46" t="n"/>
      <c r="F60" s="49" t="n"/>
      <c r="G60" s="46" t="n"/>
      <c r="H60" s="41">
        <f>IF(A60="","",DATE(YEAR(A60),MONTH(A60),1))</f>
        <v/>
      </c>
      <c r="I60" s="46" t="n"/>
    </row>
    <row r="61" ht="14.25" customHeight="1" s="63">
      <c r="A61" s="48" t="n"/>
      <c r="B61" s="48" t="n"/>
      <c r="C61" s="46" t="n"/>
      <c r="D61" s="46" t="n"/>
      <c r="E61" s="46" t="n"/>
      <c r="F61" s="49" t="n"/>
      <c r="G61" s="46" t="n"/>
      <c r="H61" s="41">
        <f>IF(A61="","",DATE(YEAR(A61),MONTH(A61),1))</f>
        <v/>
      </c>
      <c r="I61" s="46" t="n"/>
    </row>
    <row r="62" ht="14.25" customHeight="1" s="63">
      <c r="A62" s="48" t="n"/>
      <c r="B62" s="48" t="n"/>
      <c r="C62" s="46" t="n"/>
      <c r="D62" s="46" t="n"/>
      <c r="E62" s="46" t="n"/>
      <c r="F62" s="49" t="n"/>
      <c r="G62" s="46" t="n"/>
      <c r="H62" s="41">
        <f>IF(A62="","",DATE(YEAR(A62),MONTH(A62),1))</f>
        <v/>
      </c>
      <c r="I62" s="46" t="n"/>
    </row>
    <row r="63" ht="14.25" customHeight="1" s="63">
      <c r="A63" s="48" t="n"/>
      <c r="B63" s="48" t="n"/>
      <c r="C63" s="46" t="n"/>
      <c r="D63" s="46" t="n"/>
      <c r="E63" s="46" t="n"/>
      <c r="F63" s="49" t="n"/>
      <c r="G63" s="46" t="n"/>
      <c r="H63" s="41">
        <f>IF(A63="","",DATE(YEAR(A63),MONTH(A63),1))</f>
        <v/>
      </c>
      <c r="I63" s="46" t="n"/>
    </row>
    <row r="64" ht="14.25" customHeight="1" s="63">
      <c r="A64" s="48" t="n"/>
      <c r="B64" s="48" t="n"/>
      <c r="C64" s="46" t="n"/>
      <c r="D64" s="46" t="n"/>
      <c r="E64" s="46" t="n"/>
      <c r="F64" s="49" t="n"/>
      <c r="G64" s="46" t="n"/>
      <c r="H64" s="41">
        <f>IF(A64="","",DATE(YEAR(A64),MONTH(A64),1))</f>
        <v/>
      </c>
      <c r="I64" s="46" t="n"/>
    </row>
    <row r="65" ht="14.25" customHeight="1" s="63">
      <c r="A65" s="48" t="n"/>
      <c r="B65" s="48" t="n"/>
      <c r="C65" s="46" t="n"/>
      <c r="D65" s="46" t="n"/>
      <c r="E65" s="46" t="n"/>
      <c r="F65" s="49" t="n"/>
      <c r="G65" s="46" t="n"/>
      <c r="H65" s="41">
        <f>IF(A65="","",DATE(YEAR(A65),MONTH(A65),1))</f>
        <v/>
      </c>
      <c r="I65" s="46" t="n"/>
    </row>
    <row r="66" ht="14.25" customHeight="1" s="63">
      <c r="A66" s="48" t="n"/>
      <c r="B66" s="48" t="n"/>
      <c r="C66" s="46" t="n"/>
      <c r="D66" s="46" t="n"/>
      <c r="E66" s="46" t="n"/>
      <c r="F66" s="49" t="n"/>
      <c r="G66" s="46" t="n"/>
      <c r="H66" s="41">
        <f>IF(A66="","",DATE(YEAR(A66),MONTH(A66),1))</f>
        <v/>
      </c>
      <c r="I66" s="46" t="n"/>
    </row>
    <row r="67" ht="14.25" customHeight="1" s="63">
      <c r="A67" s="48" t="n"/>
      <c r="B67" s="48" t="n"/>
      <c r="C67" s="46" t="n"/>
      <c r="D67" s="46" t="n"/>
      <c r="E67" s="46" t="n"/>
      <c r="F67" s="49" t="n"/>
      <c r="G67" s="46" t="n"/>
      <c r="H67" s="41">
        <f>IF(A67="","",DATE(YEAR(A67),MONTH(A67),1))</f>
        <v/>
      </c>
      <c r="I67" s="46" t="n"/>
    </row>
    <row r="68" ht="14.25" customHeight="1" s="63">
      <c r="A68" s="48" t="n"/>
      <c r="B68" s="48" t="n"/>
      <c r="C68" s="46" t="n"/>
      <c r="D68" s="46" t="n"/>
      <c r="E68" s="46" t="n"/>
      <c r="F68" s="49" t="n"/>
      <c r="G68" s="46" t="n"/>
      <c r="H68" s="41">
        <f>IF(A68="","",DATE(YEAR(A68),MONTH(A68),1))</f>
        <v/>
      </c>
      <c r="I68" s="46" t="n"/>
    </row>
    <row r="69" ht="14.25" customHeight="1" s="63">
      <c r="A69" s="48" t="n"/>
      <c r="B69" s="48" t="n"/>
      <c r="C69" s="46" t="n"/>
      <c r="D69" s="46" t="n"/>
      <c r="E69" s="46" t="n"/>
      <c r="F69" s="49" t="n"/>
      <c r="G69" s="46" t="n"/>
      <c r="H69" s="41">
        <f>IF(A69="","",DATE(YEAR(A69),MONTH(A69),1))</f>
        <v/>
      </c>
      <c r="I69" s="46" t="n"/>
    </row>
    <row r="70" ht="14.25" customHeight="1" s="63">
      <c r="A70" s="48" t="n"/>
      <c r="B70" s="48" t="n"/>
      <c r="C70" s="46" t="n"/>
      <c r="D70" s="46" t="n"/>
      <c r="E70" s="46" t="n"/>
      <c r="F70" s="49" t="n"/>
      <c r="G70" s="46" t="n"/>
      <c r="H70" s="41">
        <f>IF(A70="","",DATE(YEAR(A70),MONTH(A70),1))</f>
        <v/>
      </c>
      <c r="I70" s="46" t="n"/>
    </row>
    <row r="71" ht="14.25" customHeight="1" s="63">
      <c r="A71" s="48" t="n"/>
      <c r="B71" s="48" t="n"/>
      <c r="C71" s="46" t="n"/>
      <c r="D71" s="46" t="n"/>
      <c r="E71" s="46" t="n"/>
      <c r="F71" s="49" t="n"/>
      <c r="G71" s="46" t="n"/>
      <c r="H71" s="41">
        <f>IF(A71="","",DATE(YEAR(A71),MONTH(A71),1))</f>
        <v/>
      </c>
      <c r="I71" s="46" t="n"/>
    </row>
    <row r="72" ht="14.25" customHeight="1" s="63">
      <c r="A72" s="48" t="n"/>
      <c r="B72" s="48" t="n"/>
      <c r="C72" s="46" t="n"/>
      <c r="D72" s="46" t="n"/>
      <c r="E72" s="46" t="n"/>
      <c r="F72" s="49" t="n"/>
      <c r="G72" s="46" t="n"/>
      <c r="H72" s="41">
        <f>IF(A72="","",DATE(YEAR(A72),MONTH(A72),1))</f>
        <v/>
      </c>
      <c r="I72" s="46" t="n"/>
    </row>
    <row r="73" ht="14.25" customHeight="1" s="63">
      <c r="A73" s="48" t="n"/>
      <c r="B73" s="48" t="n"/>
      <c r="C73" s="46" t="n"/>
      <c r="D73" s="46" t="n"/>
      <c r="E73" s="46" t="n"/>
      <c r="F73" s="49" t="n"/>
      <c r="G73" s="46" t="n"/>
      <c r="H73" s="41">
        <f>IF(A73="","",DATE(YEAR(A73),MONTH(A73),1))</f>
        <v/>
      </c>
      <c r="I73" s="46" t="n"/>
    </row>
    <row r="74" ht="14.25" customHeight="1" s="63">
      <c r="A74" s="48" t="n"/>
      <c r="B74" s="48" t="n"/>
      <c r="C74" s="46" t="n"/>
      <c r="D74" s="46" t="n"/>
      <c r="E74" s="46" t="n"/>
      <c r="F74" s="49" t="n"/>
      <c r="G74" s="46" t="n"/>
      <c r="H74" s="41">
        <f>IF(A74="","",DATE(YEAR(A74),MONTH(A74),1))</f>
        <v/>
      </c>
      <c r="I74" s="46" t="n"/>
    </row>
    <row r="75" ht="14.25" customHeight="1" s="63">
      <c r="A75" s="48" t="n"/>
      <c r="B75" s="48" t="n"/>
      <c r="C75" s="46" t="n"/>
      <c r="D75" s="46" t="n"/>
      <c r="E75" s="46" t="n"/>
      <c r="F75" s="49" t="n"/>
      <c r="G75" s="46" t="n"/>
      <c r="H75" s="41">
        <f>IF(A75="","",DATE(YEAR(A75),MONTH(A75),1))</f>
        <v/>
      </c>
      <c r="I75" s="46" t="n"/>
    </row>
    <row r="76" ht="14.25" customHeight="1" s="63">
      <c r="A76" s="48" t="n"/>
      <c r="B76" s="48" t="n"/>
      <c r="C76" s="46" t="n"/>
      <c r="D76" s="46" t="n"/>
      <c r="E76" s="46" t="n"/>
      <c r="F76" s="49" t="n"/>
      <c r="G76" s="46" t="n"/>
      <c r="H76" s="41">
        <f>IF(A76="","",DATE(YEAR(A76),MONTH(A76),1))</f>
        <v/>
      </c>
      <c r="I76" s="46" t="n"/>
    </row>
    <row r="77" ht="14.25" customHeight="1" s="63">
      <c r="A77" s="48" t="n"/>
      <c r="B77" s="48" t="n"/>
      <c r="C77" s="46" t="n"/>
      <c r="D77" s="46" t="n"/>
      <c r="E77" s="46" t="n"/>
      <c r="F77" s="49" t="n"/>
      <c r="G77" s="46" t="n"/>
      <c r="H77" s="41">
        <f>IF(A77="","",DATE(YEAR(A77),MONTH(A77),1))</f>
        <v/>
      </c>
      <c r="I77" s="46" t="n"/>
    </row>
    <row r="78" ht="14.25" customHeight="1" s="63">
      <c r="A78" s="48" t="n"/>
      <c r="B78" s="48" t="n"/>
      <c r="C78" s="46" t="n"/>
      <c r="D78" s="46" t="n"/>
      <c r="E78" s="46" t="n"/>
      <c r="F78" s="49" t="n"/>
      <c r="G78" s="46" t="n"/>
      <c r="H78" s="41">
        <f>IF(A78="","",DATE(YEAR(A78),MONTH(A78),1))</f>
        <v/>
      </c>
      <c r="I78" s="46" t="n"/>
    </row>
    <row r="79" ht="14.25" customHeight="1" s="63">
      <c r="A79" s="48" t="n"/>
      <c r="B79" s="48" t="n"/>
      <c r="C79" s="46" t="n"/>
      <c r="D79" s="46" t="n"/>
      <c r="E79" s="46" t="n"/>
      <c r="F79" s="49" t="n"/>
      <c r="G79" s="46" t="n"/>
      <c r="H79" s="41">
        <f>IF(A79="","",DATE(YEAR(A79),MONTH(A79),1))</f>
        <v/>
      </c>
      <c r="I79" s="46" t="n"/>
    </row>
    <row r="80" ht="14.25" customHeight="1" s="63">
      <c r="A80" s="48" t="n"/>
      <c r="B80" s="48" t="n"/>
      <c r="C80" s="46" t="n"/>
      <c r="D80" s="46" t="n"/>
      <c r="E80" s="46" t="n"/>
      <c r="F80" s="49" t="n"/>
      <c r="G80" s="46" t="n"/>
      <c r="H80" s="41">
        <f>IF(A80="","",DATE(YEAR(A80),MONTH(A80),1))</f>
        <v/>
      </c>
      <c r="I80" s="46" t="n"/>
    </row>
    <row r="81" ht="14.25" customHeight="1" s="63">
      <c r="A81" s="48" t="n"/>
      <c r="B81" s="48" t="n"/>
      <c r="C81" s="46" t="n"/>
      <c r="D81" s="46" t="n"/>
      <c r="E81" s="46" t="n"/>
      <c r="F81" s="49" t="n"/>
      <c r="G81" s="46" t="n"/>
      <c r="H81" s="41">
        <f>IF(A81="","",DATE(YEAR(A81),MONTH(A81),1))</f>
        <v/>
      </c>
      <c r="I81" s="46" t="n"/>
    </row>
    <row r="82" ht="14.25" customHeight="1" s="63">
      <c r="A82" s="48" t="n"/>
      <c r="B82" s="48" t="n"/>
      <c r="C82" s="46" t="n"/>
      <c r="D82" s="46" t="n"/>
      <c r="E82" s="46" t="n"/>
      <c r="F82" s="49" t="n"/>
      <c r="G82" s="46" t="n"/>
      <c r="H82" s="41">
        <f>IF(A82="","",DATE(YEAR(A82),MONTH(A82),1))</f>
        <v/>
      </c>
      <c r="I82" s="46" t="n"/>
    </row>
    <row r="83" ht="14.25" customHeight="1" s="63">
      <c r="A83" s="48" t="n"/>
      <c r="B83" s="48" t="n"/>
      <c r="C83" s="46" t="n"/>
      <c r="D83" s="46" t="n"/>
      <c r="E83" s="46" t="n"/>
      <c r="F83" s="49" t="n"/>
      <c r="G83" s="46" t="n"/>
      <c r="H83" s="41">
        <f>IF(A83="","",DATE(YEAR(A83),MONTH(A83),1))</f>
        <v/>
      </c>
      <c r="I83" s="46" t="n"/>
    </row>
    <row r="84" ht="14.25" customHeight="1" s="63">
      <c r="A84" s="48" t="n"/>
      <c r="B84" s="48" t="n"/>
      <c r="C84" s="46" t="n"/>
      <c r="D84" s="46" t="n"/>
      <c r="E84" s="46" t="n"/>
      <c r="F84" s="49" t="n"/>
      <c r="G84" s="46" t="n"/>
      <c r="H84" s="41">
        <f>IF(A84="","",DATE(YEAR(A84),MONTH(A84),1))</f>
        <v/>
      </c>
      <c r="I84" s="46" t="n"/>
    </row>
    <row r="85" ht="14.25" customHeight="1" s="63">
      <c r="A85" s="48" t="n"/>
      <c r="B85" s="48" t="n"/>
      <c r="C85" s="46" t="n"/>
      <c r="D85" s="46" t="n"/>
      <c r="E85" s="46" t="n"/>
      <c r="F85" s="49" t="n"/>
      <c r="G85" s="46" t="n"/>
      <c r="H85" s="41">
        <f>IF(A85="","",DATE(YEAR(A85),MONTH(A85),1))</f>
        <v/>
      </c>
      <c r="I85" s="46" t="n"/>
    </row>
    <row r="86" ht="14.25" customHeight="1" s="63">
      <c r="A86" s="48" t="n"/>
      <c r="B86" s="48" t="n"/>
      <c r="C86" s="46" t="n"/>
      <c r="D86" s="46" t="n"/>
      <c r="E86" s="46" t="n"/>
      <c r="F86" s="49" t="n"/>
      <c r="G86" s="46" t="n"/>
      <c r="H86" s="41">
        <f>IF(A86="","",DATE(YEAR(A86),MONTH(A86),1))</f>
        <v/>
      </c>
      <c r="I86" s="46" t="n"/>
    </row>
    <row r="87" ht="14.25" customHeight="1" s="63">
      <c r="A87" s="48" t="n"/>
      <c r="B87" s="48" t="n"/>
      <c r="C87" s="46" t="n"/>
      <c r="D87" s="46" t="n"/>
      <c r="E87" s="46" t="n"/>
      <c r="F87" s="49" t="n"/>
      <c r="G87" s="46" t="n"/>
      <c r="H87" s="41">
        <f>IF(A87="","",DATE(YEAR(A87),MONTH(A87),1))</f>
        <v/>
      </c>
      <c r="I87" s="46" t="n"/>
    </row>
    <row r="88" ht="14.25" customHeight="1" s="63">
      <c r="A88" s="48" t="n"/>
      <c r="B88" s="48" t="n"/>
      <c r="C88" s="46" t="n"/>
      <c r="D88" s="46" t="n"/>
      <c r="E88" s="46" t="n"/>
      <c r="F88" s="49" t="n"/>
      <c r="G88" s="46" t="n"/>
      <c r="H88" s="41">
        <f>IF(A88="","",DATE(YEAR(A88),MONTH(A88),1))</f>
        <v/>
      </c>
      <c r="I88" s="46" t="n"/>
    </row>
    <row r="89" ht="14.25" customHeight="1" s="63">
      <c r="A89" s="48" t="n"/>
      <c r="B89" s="48" t="n"/>
      <c r="C89" s="46" t="n"/>
      <c r="D89" s="46" t="n"/>
      <c r="E89" s="46" t="n"/>
      <c r="F89" s="49" t="n"/>
      <c r="G89" s="46" t="n"/>
      <c r="H89" s="41">
        <f>IF(A89="","",DATE(YEAR(A89),MONTH(A89),1))</f>
        <v/>
      </c>
      <c r="I89" s="46" t="n"/>
    </row>
    <row r="90" ht="14.25" customHeight="1" s="63">
      <c r="A90" s="48" t="n"/>
      <c r="B90" s="48" t="n"/>
      <c r="C90" s="46" t="n"/>
      <c r="D90" s="46" t="n"/>
      <c r="E90" s="46" t="n"/>
      <c r="F90" s="49" t="n"/>
      <c r="G90" s="46" t="n"/>
      <c r="H90" s="41">
        <f>IF(A90="","",DATE(YEAR(A90),MONTH(A90),1))</f>
        <v/>
      </c>
      <c r="I90" s="46" t="n"/>
    </row>
    <row r="91" ht="14.25" customHeight="1" s="63">
      <c r="A91" s="48" t="n"/>
      <c r="B91" s="48" t="n"/>
      <c r="C91" s="46" t="n"/>
      <c r="D91" s="46" t="n"/>
      <c r="E91" s="46" t="n"/>
      <c r="F91" s="49" t="n"/>
      <c r="G91" s="46" t="n"/>
      <c r="H91" s="41">
        <f>IF(A91="","",DATE(YEAR(A91),MONTH(A91),1))</f>
        <v/>
      </c>
      <c r="I91" s="46" t="n"/>
    </row>
    <row r="92" ht="14.25" customHeight="1" s="63">
      <c r="A92" s="48" t="n"/>
      <c r="B92" s="48" t="n"/>
      <c r="C92" s="46" t="n"/>
      <c r="D92" s="46" t="n"/>
      <c r="E92" s="46" t="n"/>
      <c r="F92" s="49" t="n"/>
      <c r="G92" s="46" t="n"/>
      <c r="H92" s="41">
        <f>IF(A92="","",DATE(YEAR(A92),MONTH(A92),1))</f>
        <v/>
      </c>
      <c r="I92" s="46" t="n"/>
    </row>
    <row r="93" ht="14.25" customHeight="1" s="63">
      <c r="A93" s="48" t="n"/>
      <c r="B93" s="48" t="n"/>
      <c r="C93" s="46" t="n"/>
      <c r="D93" s="46" t="n"/>
      <c r="E93" s="46" t="n"/>
      <c r="F93" s="49" t="n"/>
      <c r="G93" s="46" t="n"/>
      <c r="H93" s="41">
        <f>IF(A93="","",DATE(YEAR(A93),MONTH(A93),1))</f>
        <v/>
      </c>
      <c r="I93" s="46" t="n"/>
    </row>
    <row r="94" ht="14.25" customHeight="1" s="63">
      <c r="A94" s="48" t="n"/>
      <c r="B94" s="48" t="n"/>
      <c r="C94" s="46" t="n"/>
      <c r="D94" s="46" t="n"/>
      <c r="E94" s="46" t="n"/>
      <c r="F94" s="49" t="n"/>
      <c r="G94" s="46" t="n"/>
      <c r="H94" s="41">
        <f>IF(A94="","",DATE(YEAR(A94),MONTH(A94),1))</f>
        <v/>
      </c>
      <c r="I94" s="46" t="n"/>
    </row>
    <row r="95" ht="14.25" customHeight="1" s="63">
      <c r="A95" s="48" t="n"/>
      <c r="B95" s="48" t="n"/>
      <c r="C95" s="46" t="n"/>
      <c r="D95" s="46" t="n"/>
      <c r="E95" s="46" t="n"/>
      <c r="F95" s="49" t="n"/>
      <c r="G95" s="46" t="n"/>
      <c r="H95" s="41">
        <f>IF(A95="","",DATE(YEAR(A95),MONTH(A95),1))</f>
        <v/>
      </c>
      <c r="I95" s="46" t="n"/>
    </row>
    <row r="96" ht="14.25" customHeight="1" s="63">
      <c r="A96" s="48" t="n"/>
      <c r="B96" s="48" t="n"/>
      <c r="C96" s="46" t="n"/>
      <c r="D96" s="46" t="n"/>
      <c r="E96" s="46" t="n"/>
      <c r="F96" s="49" t="n"/>
      <c r="G96" s="46" t="n"/>
      <c r="H96" s="41">
        <f>IF(A96="","",DATE(YEAR(A96),MONTH(A96),1))</f>
        <v/>
      </c>
      <c r="I96" s="46" t="n"/>
    </row>
    <row r="97" ht="14.25" customHeight="1" s="63">
      <c r="A97" s="48" t="n"/>
      <c r="B97" s="48" t="n"/>
      <c r="C97" s="46" t="n"/>
      <c r="D97" s="46" t="n"/>
      <c r="E97" s="46" t="n"/>
      <c r="F97" s="49" t="n"/>
      <c r="G97" s="46" t="n"/>
      <c r="H97" s="41">
        <f>IF(A97="","",DATE(YEAR(A97),MONTH(A97),1))</f>
        <v/>
      </c>
      <c r="I97" s="46" t="n"/>
    </row>
    <row r="98" ht="14.25" customHeight="1" s="63">
      <c r="A98" s="48" t="n"/>
      <c r="B98" s="48" t="n"/>
      <c r="C98" s="46" t="n"/>
      <c r="D98" s="46" t="n"/>
      <c r="E98" s="46" t="n"/>
      <c r="F98" s="49" t="n"/>
      <c r="G98" s="46" t="n"/>
      <c r="H98" s="41">
        <f>IF(A98="","",DATE(YEAR(A98),MONTH(A98),1))</f>
        <v/>
      </c>
      <c r="I98" s="46" t="n"/>
    </row>
    <row r="99" ht="14.25" customHeight="1" s="63">
      <c r="A99" s="48" t="n"/>
      <c r="B99" s="48" t="n"/>
      <c r="C99" s="46" t="n"/>
      <c r="D99" s="46" t="n"/>
      <c r="E99" s="46" t="n"/>
      <c r="F99" s="49" t="n"/>
      <c r="G99" s="46" t="n"/>
      <c r="H99" s="41">
        <f>IF(A99="","",DATE(YEAR(A99),MONTH(A99),1))</f>
        <v/>
      </c>
      <c r="I99" s="46" t="n"/>
    </row>
    <row r="100" ht="14.25" customHeight="1" s="63">
      <c r="A100" s="48" t="n"/>
      <c r="B100" s="48" t="n"/>
      <c r="C100" s="46" t="n"/>
      <c r="D100" s="46" t="n"/>
      <c r="E100" s="46" t="n"/>
      <c r="F100" s="49" t="n"/>
      <c r="G100" s="46" t="n"/>
      <c r="H100" s="41">
        <f>IF(A100="","",DATE(YEAR(A100),MONTH(A100),1))</f>
        <v/>
      </c>
      <c r="I100" s="46" t="n"/>
    </row>
    <row r="101" ht="14.25" customHeight="1" s="63">
      <c r="A101" s="48" t="n"/>
      <c r="B101" s="48" t="n"/>
      <c r="C101" s="46" t="n"/>
      <c r="D101" s="46" t="n"/>
      <c r="E101" s="46" t="n"/>
      <c r="F101" s="49" t="n"/>
      <c r="G101" s="46" t="n"/>
      <c r="H101" s="41">
        <f>IF(A101="","",DATE(YEAR(A101),MONTH(A101),1))</f>
        <v/>
      </c>
      <c r="I101" s="46" t="n"/>
    </row>
    <row r="102" ht="14.25" customHeight="1" s="63">
      <c r="A102" s="48" t="n"/>
      <c r="B102" s="48" t="n"/>
      <c r="C102" s="46" t="n"/>
      <c r="D102" s="46" t="n"/>
      <c r="E102" s="46" t="n"/>
      <c r="F102" s="49" t="n"/>
      <c r="G102" s="46" t="n"/>
      <c r="H102" s="41">
        <f>IF(A102="","",DATE(YEAR(A102),MONTH(A102),1))</f>
        <v/>
      </c>
      <c r="I102" s="46" t="n"/>
    </row>
    <row r="103" ht="14.25" customHeight="1" s="63">
      <c r="A103" s="48" t="n"/>
      <c r="B103" s="48" t="n"/>
      <c r="C103" s="46" t="n"/>
      <c r="D103" s="46" t="n"/>
      <c r="E103" s="46" t="n"/>
      <c r="F103" s="49" t="n"/>
      <c r="G103" s="46" t="n"/>
      <c r="H103" s="41">
        <f>IF(A103="","",DATE(YEAR(A103),MONTH(A103),1))</f>
        <v/>
      </c>
      <c r="I103" s="46" t="n"/>
    </row>
    <row r="104" ht="14.25" customHeight="1" s="63">
      <c r="A104" s="48" t="n"/>
      <c r="B104" s="48" t="n"/>
      <c r="C104" s="46" t="n"/>
      <c r="D104" s="46" t="n"/>
      <c r="E104" s="46" t="n"/>
      <c r="F104" s="49" t="n"/>
      <c r="G104" s="46" t="n"/>
      <c r="H104" s="41">
        <f>IF(A104="","",DATE(YEAR(A104),MONTH(A104),1))</f>
        <v/>
      </c>
      <c r="I104" s="46" t="n"/>
    </row>
    <row r="105" ht="14.25" customHeight="1" s="63">
      <c r="A105" s="48" t="n"/>
      <c r="B105" s="48" t="n"/>
      <c r="C105" s="46" t="n"/>
      <c r="D105" s="46" t="n"/>
      <c r="E105" s="46" t="n"/>
      <c r="F105" s="49" t="n"/>
      <c r="G105" s="46" t="n"/>
      <c r="H105" s="41">
        <f>IF(A105="","",DATE(YEAR(A105),MONTH(A105),1))</f>
        <v/>
      </c>
      <c r="I105" s="46" t="n"/>
    </row>
    <row r="106" ht="14.25" customHeight="1" s="63">
      <c r="A106" s="48" t="n"/>
      <c r="B106" s="48" t="n"/>
      <c r="C106" s="46" t="n"/>
      <c r="D106" s="46" t="n"/>
      <c r="E106" s="46" t="n"/>
      <c r="F106" s="49" t="n"/>
      <c r="G106" s="46" t="n"/>
      <c r="H106" s="41">
        <f>IF(A106="","",DATE(YEAR(A106),MONTH(A106),1))</f>
        <v/>
      </c>
      <c r="I106" s="46" t="n"/>
    </row>
    <row r="107" ht="14.25" customHeight="1" s="63">
      <c r="A107" s="48" t="n"/>
      <c r="B107" s="48" t="n"/>
      <c r="C107" s="46" t="n"/>
      <c r="D107" s="46" t="n"/>
      <c r="E107" s="46" t="n"/>
      <c r="F107" s="49" t="n"/>
      <c r="G107" s="46" t="n"/>
      <c r="H107" s="41">
        <f>IF(A107="","",DATE(YEAR(A107),MONTH(A107),1))</f>
        <v/>
      </c>
      <c r="I107" s="46" t="n"/>
    </row>
    <row r="108" ht="14.25" customHeight="1" s="63">
      <c r="A108" s="48" t="n"/>
      <c r="B108" s="48" t="n"/>
      <c r="C108" s="46" t="n"/>
      <c r="D108" s="46" t="n"/>
      <c r="E108" s="46" t="n"/>
      <c r="F108" s="49" t="n"/>
      <c r="G108" s="46" t="n"/>
      <c r="H108" s="41">
        <f>IF(A108="","",DATE(YEAR(A108),MONTH(A108),1))</f>
        <v/>
      </c>
      <c r="I108" s="46" t="n"/>
    </row>
    <row r="109" ht="14.25" customHeight="1" s="63">
      <c r="A109" s="48" t="n"/>
      <c r="B109" s="48" t="n"/>
      <c r="C109" s="46" t="n"/>
      <c r="D109" s="46" t="n"/>
      <c r="E109" s="46" t="n"/>
      <c r="F109" s="49" t="n"/>
      <c r="G109" s="46" t="n"/>
      <c r="H109" s="41">
        <f>IF(A109="","",DATE(YEAR(A109),MONTH(A109),1))</f>
        <v/>
      </c>
      <c r="I109" s="46" t="n"/>
    </row>
    <row r="110" ht="14.25" customHeight="1" s="63">
      <c r="A110" s="48" t="n"/>
      <c r="B110" s="48" t="n"/>
      <c r="C110" s="46" t="n"/>
      <c r="D110" s="46" t="n"/>
      <c r="E110" s="46" t="n"/>
      <c r="F110" s="49" t="n"/>
      <c r="G110" s="46" t="n"/>
      <c r="H110" s="41">
        <f>IF(A110="","",DATE(YEAR(A110),MONTH(A110),1))</f>
        <v/>
      </c>
      <c r="I110" s="46" t="n"/>
    </row>
    <row r="111" ht="14.25" customHeight="1" s="63">
      <c r="A111" s="48" t="n"/>
      <c r="B111" s="48" t="n"/>
      <c r="C111" s="46" t="n"/>
      <c r="D111" s="46" t="n"/>
      <c r="E111" s="46" t="n"/>
      <c r="F111" s="49" t="n"/>
      <c r="G111" s="46" t="n"/>
      <c r="H111" s="41">
        <f>IF(A111="","",DATE(YEAR(A111),MONTH(A111),1))</f>
        <v/>
      </c>
      <c r="I111" s="46" t="n"/>
    </row>
    <row r="112" ht="14.25" customHeight="1" s="63">
      <c r="A112" s="48" t="n"/>
      <c r="B112" s="48" t="n"/>
      <c r="C112" s="46" t="n"/>
      <c r="D112" s="46" t="n"/>
      <c r="E112" s="46" t="n"/>
      <c r="F112" s="49" t="n"/>
      <c r="G112" s="46" t="n"/>
      <c r="H112" s="41">
        <f>IF(A112="","",DATE(YEAR(A112),MONTH(A112),1))</f>
        <v/>
      </c>
      <c r="I112" s="46" t="n"/>
    </row>
    <row r="113" ht="14.25" customHeight="1" s="63">
      <c r="A113" s="48" t="n"/>
      <c r="B113" s="48" t="n"/>
      <c r="C113" s="46" t="n"/>
      <c r="D113" s="46" t="n"/>
      <c r="E113" s="46" t="n"/>
      <c r="F113" s="49" t="n"/>
      <c r="G113" s="46" t="n"/>
      <c r="H113" s="41">
        <f>IF(A113="","",DATE(YEAR(A113),MONTH(A113),1))</f>
        <v/>
      </c>
      <c r="I113" s="46" t="n"/>
    </row>
    <row r="114" ht="14.25" customHeight="1" s="63">
      <c r="A114" s="48" t="n"/>
      <c r="B114" s="48" t="n"/>
      <c r="C114" s="46" t="n"/>
      <c r="D114" s="46" t="n"/>
      <c r="E114" s="46" t="n"/>
      <c r="F114" s="49" t="n"/>
      <c r="G114" s="46" t="n"/>
      <c r="H114" s="41">
        <f>IF(A114="","",DATE(YEAR(A114),MONTH(A114),1))</f>
        <v/>
      </c>
      <c r="I114" s="46" t="n"/>
    </row>
    <row r="115" ht="14.25" customHeight="1" s="63">
      <c r="A115" s="48" t="n"/>
      <c r="B115" s="48" t="n"/>
      <c r="C115" s="46" t="n"/>
      <c r="D115" s="46" t="n"/>
      <c r="E115" s="46" t="n"/>
      <c r="F115" s="49" t="n"/>
      <c r="G115" s="46" t="n"/>
      <c r="H115" s="41">
        <f>IF(A115="","",DATE(YEAR(A115),MONTH(A115),1))</f>
        <v/>
      </c>
      <c r="I115" s="46" t="n"/>
    </row>
    <row r="116" ht="14.25" customHeight="1" s="63">
      <c r="A116" s="48" t="n"/>
      <c r="B116" s="48" t="n"/>
      <c r="C116" s="46" t="n"/>
      <c r="D116" s="46" t="n"/>
      <c r="E116" s="46" t="n"/>
      <c r="F116" s="49" t="n"/>
      <c r="G116" s="46" t="n"/>
      <c r="H116" s="41">
        <f>IF(A116="","",DATE(YEAR(A116),MONTH(A116),1))</f>
        <v/>
      </c>
      <c r="I116" s="46" t="n"/>
    </row>
    <row r="117" ht="14.25" customHeight="1" s="63">
      <c r="A117" s="48" t="n"/>
      <c r="B117" s="48" t="n"/>
      <c r="C117" s="46" t="n"/>
      <c r="D117" s="46" t="n"/>
      <c r="E117" s="46" t="n"/>
      <c r="F117" s="49" t="n"/>
      <c r="G117" s="46" t="n"/>
      <c r="H117" s="41">
        <f>IF(A117="","",DATE(YEAR(A117),MONTH(A117),1))</f>
        <v/>
      </c>
      <c r="I117" s="46" t="n"/>
    </row>
    <row r="118" ht="14.25" customHeight="1" s="63">
      <c r="A118" s="48" t="n"/>
      <c r="B118" s="48" t="n"/>
      <c r="C118" s="46" t="n"/>
      <c r="D118" s="46" t="n"/>
      <c r="E118" s="46" t="n"/>
      <c r="F118" s="49" t="n"/>
      <c r="G118" s="46" t="n"/>
      <c r="H118" s="41">
        <f>IF(A118="","",DATE(YEAR(A118),MONTH(A118),1))</f>
        <v/>
      </c>
      <c r="I118" s="46" t="n"/>
    </row>
    <row r="119" ht="14.25" customHeight="1" s="63">
      <c r="A119" s="48" t="n"/>
      <c r="B119" s="48" t="n"/>
      <c r="C119" s="46" t="n"/>
      <c r="D119" s="46" t="n"/>
      <c r="E119" s="46" t="n"/>
      <c r="F119" s="49" t="n"/>
      <c r="G119" s="46" t="n"/>
      <c r="H119" s="41">
        <f>IF(A119="","",DATE(YEAR(A119),MONTH(A119),1))</f>
        <v/>
      </c>
      <c r="I119" s="46" t="n"/>
    </row>
    <row r="120" ht="14.25" customHeight="1" s="63">
      <c r="A120" s="48" t="n"/>
      <c r="B120" s="48" t="n"/>
      <c r="C120" s="46" t="n"/>
      <c r="D120" s="46" t="n"/>
      <c r="E120" s="46" t="n"/>
      <c r="F120" s="49" t="n"/>
      <c r="G120" s="46" t="n"/>
      <c r="H120" s="41">
        <f>IF(A120="","",DATE(YEAR(A120),MONTH(A120),1))</f>
        <v/>
      </c>
      <c r="I120" s="46" t="n"/>
    </row>
    <row r="121" ht="14.25" customHeight="1" s="63">
      <c r="A121" s="48" t="n"/>
      <c r="B121" s="48" t="n"/>
      <c r="C121" s="46" t="n"/>
      <c r="D121" s="46" t="n"/>
      <c r="E121" s="46" t="n"/>
      <c r="F121" s="49" t="n"/>
      <c r="G121" s="46" t="n"/>
      <c r="H121" s="41">
        <f>IF(A121="","",DATE(YEAR(A121),MONTH(A121),1))</f>
        <v/>
      </c>
      <c r="I121" s="46" t="n"/>
    </row>
    <row r="122" ht="14.25" customHeight="1" s="63">
      <c r="A122" s="48" t="n"/>
      <c r="B122" s="48" t="n"/>
      <c r="C122" s="46" t="n"/>
      <c r="D122" s="46" t="n"/>
      <c r="E122" s="46" t="n"/>
      <c r="F122" s="49" t="n"/>
      <c r="G122" s="46" t="n"/>
      <c r="H122" s="41">
        <f>IF(A122="","",DATE(YEAR(A122),MONTH(A122),1))</f>
        <v/>
      </c>
      <c r="I122" s="46" t="n"/>
    </row>
    <row r="123" ht="14.25" customHeight="1" s="63">
      <c r="A123" s="48" t="n"/>
      <c r="B123" s="48" t="n"/>
      <c r="C123" s="46" t="n"/>
      <c r="D123" s="46" t="n"/>
      <c r="E123" s="46" t="n"/>
      <c r="F123" s="49" t="n"/>
      <c r="G123" s="46" t="n"/>
      <c r="H123" s="41">
        <f>IF(A123="","",DATE(YEAR(A123),MONTH(A123),1))</f>
        <v/>
      </c>
      <c r="I123" s="46" t="n"/>
    </row>
    <row r="124" ht="14.25" customHeight="1" s="63">
      <c r="A124" s="48" t="n"/>
      <c r="B124" s="48" t="n"/>
      <c r="C124" s="46" t="n"/>
      <c r="D124" s="46" t="n"/>
      <c r="E124" s="46" t="n"/>
      <c r="F124" s="49" t="n"/>
      <c r="G124" s="46" t="n"/>
      <c r="H124" s="41">
        <f>IF(A124="","",DATE(YEAR(A124),MONTH(A124),1))</f>
        <v/>
      </c>
      <c r="I124" s="46" t="n"/>
    </row>
    <row r="125" ht="14.25" customHeight="1" s="63">
      <c r="A125" s="48" t="n"/>
      <c r="B125" s="48" t="n"/>
      <c r="C125" s="46" t="n"/>
      <c r="D125" s="46" t="n"/>
      <c r="E125" s="46" t="n"/>
      <c r="F125" s="49" t="n"/>
      <c r="G125" s="46" t="n"/>
      <c r="H125" s="41">
        <f>IF(A125="","",DATE(YEAR(A125),MONTH(A125),1))</f>
        <v/>
      </c>
      <c r="I125" s="46" t="n"/>
    </row>
    <row r="126" ht="14.25" customHeight="1" s="63">
      <c r="A126" s="48" t="n"/>
      <c r="B126" s="48" t="n"/>
      <c r="C126" s="46" t="n"/>
      <c r="D126" s="46" t="n"/>
      <c r="E126" s="46" t="n"/>
      <c r="F126" s="49" t="n"/>
      <c r="G126" s="46" t="n"/>
      <c r="H126" s="41">
        <f>IF(A126="","",DATE(YEAR(A126),MONTH(A126),1))</f>
        <v/>
      </c>
      <c r="I126" s="46" t="n"/>
    </row>
    <row r="127" ht="14.25" customHeight="1" s="63">
      <c r="A127" s="48" t="n"/>
      <c r="B127" s="48" t="n"/>
      <c r="C127" s="46" t="n"/>
      <c r="D127" s="46" t="n"/>
      <c r="E127" s="46" t="n"/>
      <c r="F127" s="49" t="n"/>
      <c r="G127" s="46" t="n"/>
      <c r="H127" s="41">
        <f>IF(A127="","",DATE(YEAR(A127),MONTH(A127),1))</f>
        <v/>
      </c>
      <c r="I127" s="46" t="n"/>
    </row>
    <row r="128" ht="14.25" customHeight="1" s="63">
      <c r="A128" s="48" t="n"/>
      <c r="B128" s="48" t="n"/>
      <c r="C128" s="46" t="n"/>
      <c r="D128" s="46" t="n"/>
      <c r="E128" s="46" t="n"/>
      <c r="F128" s="49" t="n"/>
      <c r="G128" s="46" t="n"/>
      <c r="H128" s="41">
        <f>IF(A128="","",DATE(YEAR(A128),MONTH(A128),1))</f>
        <v/>
      </c>
      <c r="I128" s="46" t="n"/>
    </row>
    <row r="129" ht="14.25" customHeight="1" s="63">
      <c r="A129" s="48" t="n"/>
      <c r="B129" s="48" t="n"/>
      <c r="C129" s="46" t="n"/>
      <c r="D129" s="46" t="n"/>
      <c r="E129" s="46" t="n"/>
      <c r="F129" s="49" t="n"/>
      <c r="G129" s="46" t="n"/>
      <c r="H129" s="41">
        <f>IF(A129="","",DATE(YEAR(A129),MONTH(A129),1))</f>
        <v/>
      </c>
      <c r="I129" s="46" t="n"/>
    </row>
    <row r="130" ht="14.25" customHeight="1" s="63">
      <c r="A130" s="48" t="n"/>
      <c r="B130" s="48" t="n"/>
      <c r="C130" s="46" t="n"/>
      <c r="D130" s="46" t="n"/>
      <c r="E130" s="46" t="n"/>
      <c r="F130" s="49" t="n"/>
      <c r="G130" s="46" t="n"/>
      <c r="H130" s="41">
        <f>IF(A130="","",DATE(YEAR(A130),MONTH(A130),1))</f>
        <v/>
      </c>
      <c r="I130" s="46" t="n"/>
    </row>
    <row r="131" ht="14.25" customHeight="1" s="63">
      <c r="A131" s="48" t="n"/>
      <c r="B131" s="48" t="n"/>
      <c r="C131" s="46" t="n"/>
      <c r="D131" s="46" t="n"/>
      <c r="E131" s="46" t="n"/>
      <c r="F131" s="49" t="n"/>
      <c r="G131" s="46" t="n"/>
      <c r="H131" s="41">
        <f>IF(A131="","",DATE(YEAR(A131),MONTH(A131),1))</f>
        <v/>
      </c>
      <c r="I131" s="46" t="n"/>
    </row>
    <row r="132" ht="14.25" customHeight="1" s="63">
      <c r="A132" s="48" t="n"/>
      <c r="B132" s="48" t="n"/>
      <c r="C132" s="46" t="n"/>
      <c r="D132" s="46" t="n"/>
      <c r="E132" s="46" t="n"/>
      <c r="F132" s="49" t="n"/>
      <c r="G132" s="46" t="n"/>
      <c r="H132" s="41">
        <f>IF(A132="","",DATE(YEAR(A132),MONTH(A132),1))</f>
        <v/>
      </c>
      <c r="I132" s="46" t="n"/>
    </row>
    <row r="133" ht="14.25" customHeight="1" s="63">
      <c r="A133" s="48" t="n"/>
      <c r="B133" s="48" t="n"/>
      <c r="C133" s="46" t="n"/>
      <c r="D133" s="46" t="n"/>
      <c r="E133" s="46" t="n"/>
      <c r="F133" s="49" t="n"/>
      <c r="G133" s="46" t="n"/>
      <c r="H133" s="41">
        <f>IF(A133="","",DATE(YEAR(A133),MONTH(A133),1))</f>
        <v/>
      </c>
      <c r="I133" s="46" t="n"/>
    </row>
    <row r="134" ht="14.25" customHeight="1" s="63">
      <c r="A134" s="48" t="n"/>
      <c r="B134" s="48" t="n"/>
      <c r="C134" s="46" t="n"/>
      <c r="D134" s="46" t="n"/>
      <c r="E134" s="46" t="n"/>
      <c r="F134" s="49" t="n"/>
      <c r="G134" s="46" t="n"/>
      <c r="H134" s="41">
        <f>IF(A134="","",DATE(YEAR(A134),MONTH(A134),1))</f>
        <v/>
      </c>
      <c r="I134" s="46" t="n"/>
    </row>
    <row r="135" ht="14.25" customHeight="1" s="63">
      <c r="A135" s="48" t="n"/>
      <c r="B135" s="48" t="n"/>
      <c r="C135" s="46" t="n"/>
      <c r="D135" s="46" t="n"/>
      <c r="E135" s="46" t="n"/>
      <c r="F135" s="49" t="n"/>
      <c r="G135" s="46" t="n"/>
      <c r="H135" s="41">
        <f>IF(A135="","",DATE(YEAR(A135),MONTH(A135),1))</f>
        <v/>
      </c>
      <c r="I135" s="46" t="n"/>
    </row>
    <row r="136" ht="14.25" customHeight="1" s="63">
      <c r="A136" s="48" t="n"/>
      <c r="B136" s="48" t="n"/>
      <c r="C136" s="46" t="n"/>
      <c r="D136" s="46" t="n"/>
      <c r="E136" s="46" t="n"/>
      <c r="F136" s="49" t="n"/>
      <c r="G136" s="46" t="n"/>
      <c r="H136" s="41">
        <f>IF(A136="","",DATE(YEAR(A136),MONTH(A136),1))</f>
        <v/>
      </c>
      <c r="I136" s="46" t="n"/>
    </row>
    <row r="137" ht="14.25" customHeight="1" s="63">
      <c r="A137" s="48" t="n"/>
      <c r="B137" s="48" t="n"/>
      <c r="C137" s="46" t="n"/>
      <c r="D137" s="46" t="n"/>
      <c r="E137" s="46" t="n"/>
      <c r="F137" s="49" t="n"/>
      <c r="G137" s="46" t="n"/>
      <c r="H137" s="41">
        <f>IF(A137="","",DATE(YEAR(A137),MONTH(A137),1))</f>
        <v/>
      </c>
      <c r="I137" s="46" t="n"/>
    </row>
    <row r="138" ht="14.25" customHeight="1" s="63">
      <c r="A138" s="48" t="n"/>
      <c r="B138" s="48" t="n"/>
      <c r="C138" s="46" t="n"/>
      <c r="D138" s="46" t="n"/>
      <c r="E138" s="46" t="n"/>
      <c r="F138" s="49" t="n"/>
      <c r="G138" s="46" t="n"/>
      <c r="H138" s="41">
        <f>IF(A138="","",DATE(YEAR(A138),MONTH(A138),1))</f>
        <v/>
      </c>
      <c r="I138" s="46" t="n"/>
    </row>
    <row r="139" ht="14.25" customHeight="1" s="63">
      <c r="A139" s="48" t="n"/>
      <c r="B139" s="48" t="n"/>
      <c r="C139" s="46" t="n"/>
      <c r="D139" s="46" t="n"/>
      <c r="E139" s="46" t="n"/>
      <c r="F139" s="49" t="n"/>
      <c r="G139" s="46" t="n"/>
      <c r="H139" s="41">
        <f>IF(A139="","",DATE(YEAR(A139),MONTH(A139),1))</f>
        <v/>
      </c>
      <c r="I139" s="46" t="n"/>
    </row>
    <row r="140" ht="14.25" customHeight="1" s="63">
      <c r="A140" s="48" t="n"/>
      <c r="B140" s="48" t="n"/>
      <c r="C140" s="46" t="n"/>
      <c r="D140" s="46" t="n"/>
      <c r="E140" s="46" t="n"/>
      <c r="F140" s="49" t="n"/>
      <c r="G140" s="46" t="n"/>
      <c r="H140" s="41">
        <f>IF(A140="","",DATE(YEAR(A140),MONTH(A140),1))</f>
        <v/>
      </c>
      <c r="I140" s="46" t="n"/>
    </row>
    <row r="141" ht="14.25" customHeight="1" s="63">
      <c r="A141" s="48" t="n"/>
      <c r="B141" s="48" t="n"/>
      <c r="C141" s="46" t="n"/>
      <c r="D141" s="46" t="n"/>
      <c r="E141" s="46" t="n"/>
      <c r="F141" s="49" t="n"/>
      <c r="G141" s="46" t="n"/>
      <c r="H141" s="41">
        <f>IF(A141="","",DATE(YEAR(A141),MONTH(A141),1))</f>
        <v/>
      </c>
      <c r="I141" s="46" t="n"/>
    </row>
    <row r="142" ht="14.25" customHeight="1" s="63">
      <c r="A142" s="48" t="n"/>
      <c r="B142" s="48" t="n"/>
      <c r="C142" s="46" t="n"/>
      <c r="D142" s="46" t="n"/>
      <c r="E142" s="46" t="n"/>
      <c r="F142" s="49" t="n"/>
      <c r="G142" s="46" t="n"/>
      <c r="H142" s="41">
        <f>IF(A142="","",DATE(YEAR(A142),MONTH(A142),1))</f>
        <v/>
      </c>
      <c r="I142" s="46" t="n"/>
    </row>
    <row r="143" ht="14.25" customHeight="1" s="63">
      <c r="A143" s="48" t="n"/>
      <c r="B143" s="48" t="n"/>
      <c r="C143" s="46" t="n"/>
      <c r="D143" s="46" t="n"/>
      <c r="E143" s="46" t="n"/>
      <c r="F143" s="49" t="n"/>
      <c r="G143" s="46" t="n"/>
      <c r="H143" s="41">
        <f>IF(A143="","",DATE(YEAR(A143),MONTH(A143),1))</f>
        <v/>
      </c>
      <c r="I143" s="46" t="n"/>
    </row>
    <row r="144" ht="14.25" customHeight="1" s="63">
      <c r="A144" s="48" t="n"/>
      <c r="B144" s="48" t="n"/>
      <c r="C144" s="46" t="n"/>
      <c r="D144" s="46" t="n"/>
      <c r="E144" s="46" t="n"/>
      <c r="F144" s="49" t="n"/>
      <c r="G144" s="46" t="n"/>
      <c r="H144" s="41">
        <f>IF(A144="","",DATE(YEAR(A144),MONTH(A144),1))</f>
        <v/>
      </c>
      <c r="I144" s="46" t="n"/>
    </row>
    <row r="145" ht="14.25" customHeight="1" s="63">
      <c r="A145" s="48" t="n"/>
      <c r="B145" s="48" t="n"/>
      <c r="C145" s="46" t="n"/>
      <c r="D145" s="46" t="n"/>
      <c r="E145" s="46" t="n"/>
      <c r="F145" s="49" t="n"/>
      <c r="G145" s="46" t="n"/>
      <c r="H145" s="41">
        <f>IF(A145="","",DATE(YEAR(A145),MONTH(A145),1))</f>
        <v/>
      </c>
      <c r="I145" s="46" t="n"/>
    </row>
    <row r="146" ht="14.25" customHeight="1" s="63">
      <c r="A146" s="48" t="n"/>
      <c r="B146" s="48" t="n"/>
      <c r="C146" s="46" t="n"/>
      <c r="D146" s="46" t="n"/>
      <c r="E146" s="46" t="n"/>
      <c r="F146" s="49" t="n"/>
      <c r="G146" s="46" t="n"/>
      <c r="H146" s="41">
        <f>IF(A146="","",DATE(YEAR(A146),MONTH(A146),1))</f>
        <v/>
      </c>
      <c r="I146" s="46" t="n"/>
    </row>
    <row r="147" ht="14.25" customHeight="1" s="63">
      <c r="A147" s="48" t="n"/>
      <c r="B147" s="48" t="n"/>
      <c r="C147" s="46" t="n"/>
      <c r="D147" s="46" t="n"/>
      <c r="E147" s="46" t="n"/>
      <c r="F147" s="49" t="n"/>
      <c r="G147" s="46" t="n"/>
      <c r="H147" s="41">
        <f>IF(A147="","",DATE(YEAR(A147),MONTH(A147),1))</f>
        <v/>
      </c>
      <c r="I147" s="46" t="n"/>
    </row>
    <row r="148" ht="14.25" customHeight="1" s="63">
      <c r="A148" s="48" t="n"/>
      <c r="B148" s="48" t="n"/>
      <c r="C148" s="46" t="n"/>
      <c r="D148" s="46" t="n"/>
      <c r="E148" s="46" t="n"/>
      <c r="F148" s="49" t="n"/>
      <c r="G148" s="46" t="n"/>
      <c r="H148" s="41">
        <f>IF(A148="","",DATE(YEAR(A148),MONTH(A148),1))</f>
        <v/>
      </c>
      <c r="I148" s="46" t="n"/>
    </row>
    <row r="149" ht="14.25" customHeight="1" s="63">
      <c r="A149" s="48" t="n"/>
      <c r="B149" s="48" t="n"/>
      <c r="C149" s="46" t="n"/>
      <c r="D149" s="46" t="n"/>
      <c r="E149" s="46" t="n"/>
      <c r="F149" s="49" t="n"/>
      <c r="G149" s="46" t="n"/>
      <c r="H149" s="41">
        <f>IF(A149="","",DATE(YEAR(A149),MONTH(A149),1))</f>
        <v/>
      </c>
      <c r="I149" s="46" t="n"/>
    </row>
    <row r="150" ht="14.25" customHeight="1" s="63">
      <c r="A150" s="48" t="n"/>
      <c r="B150" s="48" t="n"/>
      <c r="C150" s="46" t="n"/>
      <c r="D150" s="46" t="n"/>
      <c r="E150" s="46" t="n"/>
      <c r="F150" s="49" t="n"/>
      <c r="G150" s="46" t="n"/>
      <c r="H150" s="41">
        <f>IF(A150="","",DATE(YEAR(A150),MONTH(A150),1))</f>
        <v/>
      </c>
      <c r="I150" s="46" t="n"/>
    </row>
    <row r="151" ht="14.25" customHeight="1" s="63">
      <c r="A151" s="48" t="n"/>
      <c r="B151" s="48" t="n"/>
      <c r="C151" s="46" t="n"/>
      <c r="D151" s="46" t="n"/>
      <c r="E151" s="46" t="n"/>
      <c r="F151" s="49" t="n"/>
      <c r="G151" s="46" t="n"/>
      <c r="H151" s="41">
        <f>IF(A151="","",DATE(YEAR(A151),MONTH(A151),1))</f>
        <v/>
      </c>
      <c r="I151" s="46" t="n"/>
    </row>
    <row r="152" ht="14.25" customHeight="1" s="63">
      <c r="A152" s="48" t="n"/>
      <c r="B152" s="48" t="n"/>
      <c r="C152" s="46" t="n"/>
      <c r="D152" s="46" t="n"/>
      <c r="E152" s="46" t="n"/>
      <c r="F152" s="49" t="n"/>
      <c r="G152" s="46" t="n"/>
      <c r="H152" s="41">
        <f>IF(A152="","",DATE(YEAR(A152),MONTH(A152),1))</f>
        <v/>
      </c>
      <c r="I152" s="46" t="n"/>
    </row>
    <row r="153" ht="14.25" customHeight="1" s="63">
      <c r="A153" s="48" t="n"/>
      <c r="B153" s="48" t="n"/>
      <c r="C153" s="46" t="n"/>
      <c r="D153" s="46" t="n"/>
      <c r="E153" s="46" t="n"/>
      <c r="F153" s="49" t="n"/>
      <c r="G153" s="46" t="n"/>
      <c r="H153" s="41">
        <f>IF(A153="","",DATE(YEAR(A153),MONTH(A153),1))</f>
        <v/>
      </c>
      <c r="I153" s="46" t="n"/>
    </row>
    <row r="154" ht="14.25" customHeight="1" s="63">
      <c r="A154" s="48" t="n"/>
      <c r="B154" s="48" t="n"/>
      <c r="C154" s="46" t="n"/>
      <c r="D154" s="46" t="n"/>
      <c r="E154" s="46" t="n"/>
      <c r="F154" s="49" t="n"/>
      <c r="G154" s="46" t="n"/>
      <c r="H154" s="41">
        <f>IF(A154="","",DATE(YEAR(A154),MONTH(A154),1))</f>
        <v/>
      </c>
      <c r="I154" s="46" t="n"/>
    </row>
    <row r="155" ht="14.25" customHeight="1" s="63">
      <c r="A155" s="48" t="n"/>
      <c r="B155" s="48" t="n"/>
      <c r="C155" s="46" t="n"/>
      <c r="D155" s="46" t="n"/>
      <c r="E155" s="46" t="n"/>
      <c r="F155" s="49" t="n"/>
      <c r="G155" s="46" t="n"/>
      <c r="H155" s="41">
        <f>IF(A155="","",DATE(YEAR(A155),MONTH(A155),1))</f>
        <v/>
      </c>
      <c r="I155" s="46" t="n"/>
    </row>
    <row r="156" ht="14.25" customHeight="1" s="63">
      <c r="A156" s="48" t="n"/>
      <c r="B156" s="48" t="n"/>
      <c r="C156" s="46" t="n"/>
      <c r="D156" s="46" t="n"/>
      <c r="E156" s="46" t="n"/>
      <c r="F156" s="49" t="n"/>
      <c r="G156" s="46" t="n"/>
      <c r="H156" s="41">
        <f>IF(A156="","",DATE(YEAR(A156),MONTH(A156),1))</f>
        <v/>
      </c>
      <c r="I156" s="46" t="n"/>
    </row>
    <row r="157" ht="14.25" customHeight="1" s="63">
      <c r="A157" s="48" t="n"/>
      <c r="B157" s="48" t="n"/>
      <c r="C157" s="46" t="n"/>
      <c r="D157" s="46" t="n"/>
      <c r="E157" s="46" t="n"/>
      <c r="F157" s="49" t="n"/>
      <c r="G157" s="46" t="n"/>
      <c r="H157" s="41">
        <f>IF(A157="","",DATE(YEAR(A157),MONTH(A157),1))</f>
        <v/>
      </c>
      <c r="I157" s="46" t="n"/>
    </row>
    <row r="158" ht="14.25" customHeight="1" s="63">
      <c r="A158" s="48" t="n"/>
      <c r="B158" s="48" t="n"/>
      <c r="C158" s="46" t="n"/>
      <c r="D158" s="46" t="n"/>
      <c r="E158" s="46" t="n"/>
      <c r="F158" s="49" t="n"/>
      <c r="G158" s="46" t="n"/>
      <c r="H158" s="41">
        <f>IF(A158="","",DATE(YEAR(A158),MONTH(A158),1))</f>
        <v/>
      </c>
      <c r="I158" s="46" t="n"/>
    </row>
    <row r="159" ht="14.25" customHeight="1" s="63">
      <c r="A159" s="48" t="n"/>
      <c r="B159" s="48" t="n"/>
      <c r="C159" s="46" t="n"/>
      <c r="D159" s="46" t="n"/>
      <c r="E159" s="46" t="n"/>
      <c r="F159" s="49" t="n"/>
      <c r="G159" s="46" t="n"/>
      <c r="H159" s="41">
        <f>IF(A159="","",DATE(YEAR(A159),MONTH(A159),1))</f>
        <v/>
      </c>
      <c r="I159" s="46" t="n"/>
    </row>
    <row r="160" ht="14.25" customHeight="1" s="63">
      <c r="A160" s="48" t="n"/>
      <c r="B160" s="48" t="n"/>
      <c r="C160" s="46" t="n"/>
      <c r="D160" s="46" t="n"/>
      <c r="E160" s="46" t="n"/>
      <c r="F160" s="49" t="n"/>
      <c r="G160" s="46" t="n"/>
      <c r="H160" s="41">
        <f>IF(A160="","",DATE(YEAR(A160),MONTH(A160),1))</f>
        <v/>
      </c>
      <c r="I160" s="46" t="n"/>
    </row>
    <row r="161" ht="14.25" customHeight="1" s="63">
      <c r="A161" s="48" t="n"/>
      <c r="B161" s="48" t="n"/>
      <c r="C161" s="46" t="n"/>
      <c r="D161" s="46" t="n"/>
      <c r="E161" s="46" t="n"/>
      <c r="F161" s="49" t="n"/>
      <c r="G161" s="46" t="n"/>
      <c r="H161" s="41">
        <f>IF(A161="","",DATE(YEAR(A161),MONTH(A161),1))</f>
        <v/>
      </c>
      <c r="I161" s="46" t="n"/>
    </row>
    <row r="162" ht="14.25" customHeight="1" s="63">
      <c r="A162" s="48" t="n"/>
      <c r="B162" s="48" t="n"/>
      <c r="C162" s="46" t="n"/>
      <c r="D162" s="46" t="n"/>
      <c r="E162" s="46" t="n"/>
      <c r="F162" s="49" t="n"/>
      <c r="G162" s="46" t="n"/>
      <c r="H162" s="41">
        <f>IF(A162="","",DATE(YEAR(A162),MONTH(A162),1))</f>
        <v/>
      </c>
      <c r="I162" s="46" t="n"/>
    </row>
    <row r="163" ht="14.25" customHeight="1" s="63">
      <c r="A163" s="48" t="n"/>
      <c r="B163" s="48" t="n"/>
      <c r="C163" s="46" t="n"/>
      <c r="D163" s="46" t="n"/>
      <c r="E163" s="46" t="n"/>
      <c r="F163" s="49" t="n"/>
      <c r="G163" s="46" t="n"/>
      <c r="H163" s="41">
        <f>IF(A163="","",DATE(YEAR(A163),MONTH(A163),1))</f>
        <v/>
      </c>
      <c r="I163" s="46" t="n"/>
    </row>
    <row r="164" ht="14.25" customHeight="1" s="63">
      <c r="A164" s="48" t="n"/>
      <c r="B164" s="48" t="n"/>
      <c r="C164" s="46" t="n"/>
      <c r="D164" s="46" t="n"/>
      <c r="E164" s="46" t="n"/>
      <c r="F164" s="49" t="n"/>
      <c r="G164" s="46" t="n"/>
      <c r="H164" s="41">
        <f>IF(A164="","",DATE(YEAR(A164),MONTH(A164),1))</f>
        <v/>
      </c>
      <c r="I164" s="46" t="n"/>
    </row>
    <row r="165" ht="14.25" customHeight="1" s="63">
      <c r="A165" s="48" t="n"/>
      <c r="B165" s="48" t="n"/>
      <c r="C165" s="46" t="n"/>
      <c r="D165" s="46" t="n"/>
      <c r="E165" s="46" t="n"/>
      <c r="F165" s="49" t="n"/>
      <c r="G165" s="46" t="n"/>
      <c r="H165" s="41">
        <f>IF(A165="","",DATE(YEAR(A165),MONTH(A165),1))</f>
        <v/>
      </c>
      <c r="I165" s="46" t="n"/>
    </row>
    <row r="166" ht="14.25" customHeight="1" s="63">
      <c r="A166" s="48" t="n"/>
      <c r="B166" s="48" t="n"/>
      <c r="C166" s="46" t="n"/>
      <c r="D166" s="46" t="n"/>
      <c r="E166" s="46" t="n"/>
      <c r="F166" s="49" t="n"/>
      <c r="G166" s="46" t="n"/>
      <c r="H166" s="41">
        <f>IF(A166="","",DATE(YEAR(A166),MONTH(A166),1))</f>
        <v/>
      </c>
      <c r="I166" s="46" t="n"/>
    </row>
    <row r="167" ht="14.25" customHeight="1" s="63">
      <c r="A167" s="48" t="n"/>
      <c r="B167" s="48" t="n"/>
      <c r="C167" s="46" t="n"/>
      <c r="D167" s="46" t="n"/>
      <c r="E167" s="46" t="n"/>
      <c r="F167" s="49" t="n"/>
      <c r="G167" s="46" t="n"/>
      <c r="H167" s="41">
        <f>IF(A167="","",DATE(YEAR(A167),MONTH(A167),1))</f>
        <v/>
      </c>
      <c r="I167" s="46" t="n"/>
    </row>
    <row r="168" ht="14.25" customHeight="1" s="63">
      <c r="A168" s="48" t="n"/>
      <c r="B168" s="48" t="n"/>
      <c r="C168" s="46" t="n"/>
      <c r="D168" s="46" t="n"/>
      <c r="E168" s="46" t="n"/>
      <c r="F168" s="49" t="n"/>
      <c r="G168" s="46" t="n"/>
      <c r="H168" s="41">
        <f>IF(A168="","",DATE(YEAR(A168),MONTH(A168),1))</f>
        <v/>
      </c>
      <c r="I168" s="46" t="n"/>
    </row>
    <row r="169" ht="14.25" customHeight="1" s="63">
      <c r="A169" s="48" t="n"/>
      <c r="B169" s="48" t="n"/>
      <c r="C169" s="46" t="n"/>
      <c r="D169" s="46" t="n"/>
      <c r="E169" s="46" t="n"/>
      <c r="F169" s="49" t="n"/>
      <c r="G169" s="46" t="n"/>
      <c r="H169" s="41">
        <f>IF(A169="","",DATE(YEAR(A169),MONTH(A169),1))</f>
        <v/>
      </c>
      <c r="I169" s="46" t="n"/>
    </row>
    <row r="170" ht="14.25" customHeight="1" s="63">
      <c r="A170" s="48" t="n"/>
      <c r="B170" s="48" t="n"/>
      <c r="C170" s="46" t="n"/>
      <c r="D170" s="46" t="n"/>
      <c r="E170" s="46" t="n"/>
      <c r="F170" s="49" t="n"/>
      <c r="G170" s="46" t="n"/>
      <c r="H170" s="41">
        <f>IF(A170="","",DATE(YEAR(A170),MONTH(A170),1))</f>
        <v/>
      </c>
      <c r="I170" s="46" t="n"/>
    </row>
    <row r="171" ht="14.25" customHeight="1" s="63">
      <c r="A171" s="48" t="n"/>
      <c r="B171" s="48" t="n"/>
      <c r="C171" s="46" t="n"/>
      <c r="D171" s="46" t="n"/>
      <c r="E171" s="46" t="n"/>
      <c r="F171" s="49" t="n"/>
      <c r="G171" s="46" t="n"/>
      <c r="H171" s="41">
        <f>IF(A171="","",DATE(YEAR(A171),MONTH(A171),1))</f>
        <v/>
      </c>
      <c r="I171" s="46" t="n"/>
    </row>
    <row r="172" ht="14.25" customHeight="1" s="63">
      <c r="A172" s="48" t="n"/>
      <c r="B172" s="48" t="n"/>
      <c r="C172" s="46" t="n"/>
      <c r="D172" s="46" t="n"/>
      <c r="E172" s="46" t="n"/>
      <c r="F172" s="49" t="n"/>
      <c r="G172" s="46" t="n"/>
      <c r="H172" s="41">
        <f>IF(A172="","",DATE(YEAR(A172),MONTH(A172),1))</f>
        <v/>
      </c>
      <c r="I172" s="46" t="n"/>
    </row>
    <row r="173" ht="14.25" customHeight="1" s="63">
      <c r="A173" s="48" t="n"/>
      <c r="B173" s="48" t="n"/>
      <c r="C173" s="46" t="n"/>
      <c r="D173" s="46" t="n"/>
      <c r="E173" s="46" t="n"/>
      <c r="F173" s="49" t="n"/>
      <c r="G173" s="46" t="n"/>
      <c r="H173" s="41">
        <f>IF(A173="","",DATE(YEAR(A173),MONTH(A173),1))</f>
        <v/>
      </c>
      <c r="I173" s="46" t="n"/>
    </row>
    <row r="174" ht="14.25" customHeight="1" s="63">
      <c r="A174" s="48" t="n"/>
      <c r="B174" s="48" t="n"/>
      <c r="C174" s="46" t="n"/>
      <c r="D174" s="46" t="n"/>
      <c r="E174" s="46" t="n"/>
      <c r="F174" s="49" t="n"/>
      <c r="G174" s="46" t="n"/>
      <c r="H174" s="41">
        <f>IF(A174="","",DATE(YEAR(A174),MONTH(A174),1))</f>
        <v/>
      </c>
      <c r="I174" s="46" t="n"/>
    </row>
    <row r="175" ht="14.25" customHeight="1" s="63">
      <c r="A175" s="48" t="n"/>
      <c r="B175" s="48" t="n"/>
      <c r="C175" s="46" t="n"/>
      <c r="D175" s="46" t="n"/>
      <c r="E175" s="46" t="n"/>
      <c r="F175" s="49" t="n"/>
      <c r="G175" s="46" t="n"/>
      <c r="H175" s="41">
        <f>IF(A175="","",DATE(YEAR(A175),MONTH(A175),1))</f>
        <v/>
      </c>
      <c r="I175" s="46" t="n"/>
    </row>
    <row r="176" ht="14.25" customHeight="1" s="63">
      <c r="A176" s="48" t="n"/>
      <c r="B176" s="48" t="n"/>
      <c r="C176" s="46" t="n"/>
      <c r="D176" s="46" t="n"/>
      <c r="E176" s="46" t="n"/>
      <c r="F176" s="49" t="n"/>
      <c r="G176" s="46" t="n"/>
      <c r="H176" s="41">
        <f>IF(A176="","",DATE(YEAR(A176),MONTH(A176),1))</f>
        <v/>
      </c>
      <c r="I176" s="46" t="n"/>
    </row>
    <row r="177" ht="14.25" customHeight="1" s="63">
      <c r="A177" s="48" t="n"/>
      <c r="B177" s="48" t="n"/>
      <c r="C177" s="46" t="n"/>
      <c r="D177" s="46" t="n"/>
      <c r="E177" s="46" t="n"/>
      <c r="F177" s="49" t="n"/>
      <c r="G177" s="46" t="n"/>
      <c r="H177" s="41">
        <f>IF(A177="","",DATE(YEAR(A177),MONTH(A177),1))</f>
        <v/>
      </c>
      <c r="I177" s="46" t="n"/>
    </row>
    <row r="178" ht="14.25" customHeight="1" s="63">
      <c r="A178" s="48" t="n"/>
      <c r="B178" s="48" t="n"/>
      <c r="C178" s="46" t="n"/>
      <c r="D178" s="46" t="n"/>
      <c r="E178" s="46" t="n"/>
      <c r="F178" s="49" t="n"/>
      <c r="G178" s="46" t="n"/>
      <c r="H178" s="41">
        <f>IF(A178="","",DATE(YEAR(A178),MONTH(A178),1))</f>
        <v/>
      </c>
      <c r="I178" s="46" t="n"/>
    </row>
    <row r="179" ht="14.25" customHeight="1" s="63">
      <c r="A179" s="48" t="n"/>
      <c r="B179" s="48" t="n"/>
      <c r="C179" s="46" t="n"/>
      <c r="D179" s="46" t="n"/>
      <c r="E179" s="46" t="n"/>
      <c r="F179" s="49" t="n"/>
      <c r="G179" s="46" t="n"/>
      <c r="H179" s="41">
        <f>IF(A179="","",DATE(YEAR(A179),MONTH(A179),1))</f>
        <v/>
      </c>
      <c r="I179" s="46" t="n"/>
    </row>
    <row r="180" ht="14.25" customHeight="1" s="63">
      <c r="A180" s="48" t="n"/>
      <c r="B180" s="48" t="n"/>
      <c r="C180" s="46" t="n"/>
      <c r="D180" s="46" t="n"/>
      <c r="E180" s="46" t="n"/>
      <c r="F180" s="49" t="n"/>
      <c r="G180" s="46" t="n"/>
      <c r="H180" s="41">
        <f>IF(A180="","",DATE(YEAR(A180),MONTH(A180),1))</f>
        <v/>
      </c>
      <c r="I180" s="46" t="n"/>
    </row>
    <row r="181" ht="14.25" customHeight="1" s="63">
      <c r="A181" s="48" t="n"/>
      <c r="B181" s="48" t="n"/>
      <c r="C181" s="46" t="n"/>
      <c r="D181" s="46" t="n"/>
      <c r="E181" s="46" t="n"/>
      <c r="F181" s="49" t="n"/>
      <c r="G181" s="46" t="n"/>
      <c r="H181" s="41">
        <f>IF(A181="","",DATE(YEAR(A181),MONTH(A181),1))</f>
        <v/>
      </c>
      <c r="I181" s="46" t="n"/>
    </row>
    <row r="182" ht="14.25" customHeight="1" s="63">
      <c r="A182" s="48" t="n"/>
      <c r="B182" s="48" t="n"/>
      <c r="C182" s="46" t="n"/>
      <c r="D182" s="46" t="n"/>
      <c r="E182" s="46" t="n"/>
      <c r="F182" s="49" t="n"/>
      <c r="G182" s="46" t="n"/>
      <c r="H182" s="41">
        <f>IF(A182="","",DATE(YEAR(A182),MONTH(A182),1))</f>
        <v/>
      </c>
      <c r="I182" s="46" t="n"/>
    </row>
    <row r="183" ht="14.25" customHeight="1" s="63">
      <c r="A183" s="48" t="n"/>
      <c r="B183" s="48" t="n"/>
      <c r="C183" s="46" t="n"/>
      <c r="D183" s="46" t="n"/>
      <c r="E183" s="46" t="n"/>
      <c r="F183" s="49" t="n"/>
      <c r="G183" s="46" t="n"/>
      <c r="H183" s="41">
        <f>IF(A183="","",DATE(YEAR(A183),MONTH(A183),1))</f>
        <v/>
      </c>
      <c r="I183" s="46" t="n"/>
    </row>
    <row r="184" ht="14.25" customHeight="1" s="63">
      <c r="A184" s="48" t="n"/>
      <c r="B184" s="48" t="n"/>
      <c r="C184" s="46" t="n"/>
      <c r="D184" s="46" t="n"/>
      <c r="E184" s="46" t="n"/>
      <c r="F184" s="49" t="n"/>
      <c r="G184" s="46" t="n"/>
      <c r="H184" s="41">
        <f>IF(A184="","",DATE(YEAR(A184),MONTH(A184),1))</f>
        <v/>
      </c>
      <c r="I184" s="46" t="n"/>
    </row>
    <row r="185" ht="14.25" customHeight="1" s="63">
      <c r="A185" s="48" t="n"/>
      <c r="B185" s="48" t="n"/>
      <c r="C185" s="46" t="n"/>
      <c r="D185" s="46" t="n"/>
      <c r="E185" s="46" t="n"/>
      <c r="F185" s="49" t="n"/>
      <c r="G185" s="46" t="n"/>
      <c r="H185" s="41">
        <f>IF(A185="","",DATE(YEAR(A185),MONTH(A185),1))</f>
        <v/>
      </c>
      <c r="I185" s="46" t="n"/>
    </row>
    <row r="186" ht="14.25" customHeight="1" s="63">
      <c r="A186" s="48" t="n"/>
      <c r="B186" s="48" t="n"/>
      <c r="C186" s="46" t="n"/>
      <c r="D186" s="46" t="n"/>
      <c r="E186" s="46" t="n"/>
      <c r="F186" s="49" t="n"/>
      <c r="G186" s="46" t="n"/>
      <c r="H186" s="41">
        <f>IF(A186="","",DATE(YEAR(A186),MONTH(A186),1))</f>
        <v/>
      </c>
      <c r="I186" s="46" t="n"/>
    </row>
    <row r="187" ht="14.25" customHeight="1" s="63">
      <c r="A187" s="48" t="n"/>
      <c r="B187" s="48" t="n"/>
      <c r="C187" s="46" t="n"/>
      <c r="D187" s="46" t="n"/>
      <c r="E187" s="46" t="n"/>
      <c r="F187" s="49" t="n"/>
      <c r="G187" s="46" t="n"/>
      <c r="H187" s="41">
        <f>IF(A187="","",DATE(YEAR(A187),MONTH(A187),1))</f>
        <v/>
      </c>
      <c r="I187" s="46" t="n"/>
    </row>
    <row r="188" ht="14.25" customHeight="1" s="63">
      <c r="A188" s="48" t="n"/>
      <c r="B188" s="48" t="n"/>
      <c r="C188" s="46" t="n"/>
      <c r="D188" s="46" t="n"/>
      <c r="E188" s="46" t="n"/>
      <c r="F188" s="49" t="n"/>
      <c r="G188" s="46" t="n"/>
      <c r="H188" s="41">
        <f>IF(A188="","",DATE(YEAR(A188),MONTH(A188),1))</f>
        <v/>
      </c>
      <c r="I188" s="46" t="n"/>
    </row>
    <row r="189" ht="14.25" customHeight="1" s="63">
      <c r="A189" s="48" t="n"/>
      <c r="B189" s="48" t="n"/>
      <c r="C189" s="46" t="n"/>
      <c r="D189" s="46" t="n"/>
      <c r="E189" s="46" t="n"/>
      <c r="F189" s="49" t="n"/>
      <c r="G189" s="46" t="n"/>
      <c r="H189" s="41">
        <f>IF(A189="","",DATE(YEAR(A189),MONTH(A189),1))</f>
        <v/>
      </c>
      <c r="I189" s="46" t="n"/>
    </row>
    <row r="190" ht="14.25" customHeight="1" s="63">
      <c r="A190" s="48" t="n"/>
      <c r="B190" s="48" t="n"/>
      <c r="C190" s="46" t="n"/>
      <c r="D190" s="46" t="n"/>
      <c r="E190" s="46" t="n"/>
      <c r="F190" s="49" t="n"/>
      <c r="G190" s="46" t="n"/>
      <c r="H190" s="41">
        <f>IF(A190="","",DATE(YEAR(A190),MONTH(A190),1))</f>
        <v/>
      </c>
      <c r="I190" s="46" t="n"/>
    </row>
    <row r="191" ht="14.25" customHeight="1" s="63">
      <c r="A191" s="48" t="n"/>
      <c r="B191" s="48" t="n"/>
      <c r="C191" s="46" t="n"/>
      <c r="D191" s="46" t="n"/>
      <c r="E191" s="46" t="n"/>
      <c r="F191" s="49" t="n"/>
      <c r="G191" s="46" t="n"/>
      <c r="H191" s="41">
        <f>IF(A191="","",DATE(YEAR(A191),MONTH(A191),1))</f>
        <v/>
      </c>
      <c r="I191" s="46" t="n"/>
    </row>
    <row r="192" ht="14.25" customHeight="1" s="63">
      <c r="A192" s="48" t="n"/>
      <c r="B192" s="48" t="n"/>
      <c r="C192" s="46" t="n"/>
      <c r="D192" s="46" t="n"/>
      <c r="E192" s="46" t="n"/>
      <c r="F192" s="49" t="n"/>
      <c r="G192" s="46" t="n"/>
      <c r="H192" s="41">
        <f>IF(A192="","",DATE(YEAR(A192),MONTH(A192),1))</f>
        <v/>
      </c>
      <c r="I192" s="46" t="n"/>
    </row>
    <row r="193" ht="14.25" customHeight="1" s="63">
      <c r="A193" s="48" t="n"/>
      <c r="B193" s="48" t="n"/>
      <c r="C193" s="46" t="n"/>
      <c r="D193" s="46" t="n"/>
      <c r="E193" s="46" t="n"/>
      <c r="F193" s="49" t="n"/>
      <c r="G193" s="46" t="n"/>
      <c r="H193" s="41">
        <f>IF(A193="","",DATE(YEAR(A193),MONTH(A193),1))</f>
        <v/>
      </c>
      <c r="I193" s="46" t="n"/>
    </row>
    <row r="194" ht="14.25" customHeight="1" s="63">
      <c r="A194" s="48" t="n"/>
      <c r="B194" s="48" t="n"/>
      <c r="C194" s="46" t="n"/>
      <c r="D194" s="46" t="n"/>
      <c r="E194" s="46" t="n"/>
      <c r="F194" s="49" t="n"/>
      <c r="G194" s="46" t="n"/>
      <c r="H194" s="41">
        <f>IF(A194="","",DATE(YEAR(A194),MONTH(A194),1))</f>
        <v/>
      </c>
      <c r="I194" s="46" t="n"/>
    </row>
    <row r="195" ht="14.25" customHeight="1" s="63">
      <c r="A195" s="48" t="n"/>
      <c r="B195" s="48" t="n"/>
      <c r="C195" s="46" t="n"/>
      <c r="D195" s="46" t="n"/>
      <c r="E195" s="46" t="n"/>
      <c r="F195" s="49" t="n"/>
      <c r="G195" s="46" t="n"/>
      <c r="H195" s="41">
        <f>IF(A195="","",DATE(YEAR(A195),MONTH(A195),1))</f>
        <v/>
      </c>
      <c r="I195" s="46" t="n"/>
    </row>
    <row r="196" ht="14.25" customHeight="1" s="63">
      <c r="A196" s="48" t="n"/>
      <c r="B196" s="48" t="n"/>
      <c r="C196" s="46" t="n"/>
      <c r="D196" s="46" t="n"/>
      <c r="E196" s="46" t="n"/>
      <c r="F196" s="49" t="n"/>
      <c r="G196" s="46" t="n"/>
      <c r="H196" s="41">
        <f>IF(A196="","",DATE(YEAR(A196),MONTH(A196),1))</f>
        <v/>
      </c>
      <c r="I196" s="46" t="n"/>
    </row>
    <row r="197" ht="14.25" customHeight="1" s="63">
      <c r="A197" s="48" t="n"/>
      <c r="B197" s="48" t="n"/>
      <c r="C197" s="46" t="n"/>
      <c r="D197" s="46" t="n"/>
      <c r="E197" s="46" t="n"/>
      <c r="F197" s="49" t="n"/>
      <c r="G197" s="46" t="n"/>
      <c r="H197" s="41">
        <f>IF(A197="","",DATE(YEAR(A197),MONTH(A197),1))</f>
        <v/>
      </c>
      <c r="I197" s="46" t="n"/>
    </row>
    <row r="198" ht="14.25" customHeight="1" s="63">
      <c r="A198" s="48" t="n"/>
      <c r="B198" s="48" t="n"/>
      <c r="C198" s="46" t="n"/>
      <c r="D198" s="46" t="n"/>
      <c r="E198" s="46" t="n"/>
      <c r="F198" s="49" t="n"/>
      <c r="G198" s="46" t="n"/>
      <c r="H198" s="41">
        <f>IF(A198="","",DATE(YEAR(A198),MONTH(A198),1))</f>
        <v/>
      </c>
      <c r="I198" s="46" t="n"/>
    </row>
    <row r="199" ht="14.25" customHeight="1" s="63">
      <c r="A199" s="48" t="n"/>
      <c r="B199" s="48" t="n"/>
      <c r="C199" s="46" t="n"/>
      <c r="D199" s="46" t="n"/>
      <c r="E199" s="46" t="n"/>
      <c r="F199" s="49" t="n"/>
      <c r="G199" s="46" t="n"/>
      <c r="H199" s="41">
        <f>IF(A199="","",DATE(YEAR(A199),MONTH(A199),1))</f>
        <v/>
      </c>
      <c r="I199" s="46" t="n"/>
    </row>
    <row r="200" ht="14.25" customHeight="1" s="63">
      <c r="A200" s="48" t="n"/>
      <c r="B200" s="48" t="n"/>
      <c r="C200" s="46" t="n"/>
      <c r="D200" s="46" t="n"/>
      <c r="E200" s="46" t="n"/>
      <c r="F200" s="49" t="n"/>
      <c r="G200" s="46" t="n"/>
      <c r="H200" s="41">
        <f>IF(A200="","",DATE(YEAR(A200),MONTH(A200),1))</f>
        <v/>
      </c>
      <c r="I200" s="46" t="n"/>
    </row>
    <row r="201" ht="14.25" customHeight="1" s="63">
      <c r="A201" s="48" t="n"/>
      <c r="B201" s="48" t="n"/>
      <c r="C201" s="46" t="n"/>
      <c r="D201" s="46" t="n"/>
      <c r="E201" s="46" t="n"/>
      <c r="F201" s="49" t="n"/>
      <c r="G201" s="46" t="n"/>
      <c r="H201" s="41">
        <f>IF(A201="","",DATE(YEAR(A201),MONTH(A201),1))</f>
        <v/>
      </c>
      <c r="I201" s="46" t="n"/>
    </row>
    <row r="202" ht="14.25" customHeight="1" s="63">
      <c r="A202" s="48" t="n"/>
      <c r="B202" s="48" t="n"/>
      <c r="C202" s="46" t="n"/>
      <c r="D202" s="46" t="n"/>
      <c r="E202" s="46" t="n"/>
      <c r="F202" s="49" t="n"/>
      <c r="G202" s="46" t="n"/>
      <c r="H202" s="41">
        <f>IF(A202="","",DATE(YEAR(A202),MONTH(A202),1))</f>
        <v/>
      </c>
      <c r="I202" s="46" t="n"/>
    </row>
    <row r="203" ht="14.25" customHeight="1" s="63">
      <c r="A203" s="48" t="n"/>
      <c r="B203" s="48" t="n"/>
      <c r="C203" s="46" t="n"/>
      <c r="D203" s="46" t="n"/>
      <c r="E203" s="46" t="n"/>
      <c r="F203" s="49" t="n"/>
      <c r="G203" s="46" t="n"/>
      <c r="H203" s="41">
        <f>IF(A203="","",DATE(YEAR(A203),MONTH(A203),1))</f>
        <v/>
      </c>
      <c r="I203" s="46" t="n"/>
    </row>
    <row r="204" ht="14.25" customHeight="1" s="63">
      <c r="A204" s="48" t="n"/>
      <c r="B204" s="48" t="n"/>
      <c r="C204" s="46" t="n"/>
      <c r="D204" s="46" t="n"/>
      <c r="E204" s="46" t="n"/>
      <c r="F204" s="49" t="n"/>
      <c r="G204" s="46" t="n"/>
      <c r="H204" s="41">
        <f>IF(A204="","",DATE(YEAR(A204),MONTH(A204),1))</f>
        <v/>
      </c>
      <c r="I204" s="46" t="n"/>
    </row>
    <row r="205" ht="14.25" customHeight="1" s="63">
      <c r="A205" s="48" t="n"/>
      <c r="B205" s="48" t="n"/>
      <c r="C205" s="46" t="n"/>
      <c r="D205" s="46" t="n"/>
      <c r="E205" s="46" t="n"/>
      <c r="F205" s="49" t="n"/>
      <c r="G205" s="46" t="n"/>
      <c r="H205" s="41">
        <f>IF(A205="","",DATE(YEAR(A205),MONTH(A205),1))</f>
        <v/>
      </c>
      <c r="I205" s="46" t="n"/>
    </row>
    <row r="206" ht="14.25" customHeight="1" s="63">
      <c r="A206" s="48" t="n"/>
      <c r="B206" s="48" t="n"/>
      <c r="C206" s="46" t="n"/>
      <c r="D206" s="46" t="n"/>
      <c r="E206" s="46" t="n"/>
      <c r="F206" s="49" t="n"/>
      <c r="G206" s="46" t="n"/>
      <c r="H206" s="41">
        <f>IF(A206="","",DATE(YEAR(A206),MONTH(A206),1))</f>
        <v/>
      </c>
      <c r="I206" s="46" t="n"/>
    </row>
    <row r="207" ht="14.25" customHeight="1" s="63">
      <c r="A207" s="48" t="n"/>
      <c r="B207" s="48" t="n"/>
      <c r="C207" s="46" t="n"/>
      <c r="D207" s="46" t="n"/>
      <c r="E207" s="46" t="n"/>
      <c r="F207" s="49" t="n"/>
      <c r="G207" s="46" t="n"/>
      <c r="H207" s="41">
        <f>IF(A207="","",DATE(YEAR(A207),MONTH(A207),1))</f>
        <v/>
      </c>
      <c r="I207" s="46" t="n"/>
    </row>
    <row r="208" ht="14.25" customHeight="1" s="63">
      <c r="A208" s="48" t="n"/>
      <c r="B208" s="48" t="n"/>
      <c r="C208" s="46" t="n"/>
      <c r="D208" s="46" t="n"/>
      <c r="E208" s="46" t="n"/>
      <c r="F208" s="49" t="n"/>
      <c r="G208" s="46" t="n"/>
      <c r="H208" s="41">
        <f>IF(A208="","",DATE(YEAR(A208),MONTH(A208),1))</f>
        <v/>
      </c>
      <c r="I208" s="46" t="n"/>
    </row>
    <row r="209" ht="14.25" customHeight="1" s="63">
      <c r="A209" s="48" t="n"/>
      <c r="B209" s="48" t="n"/>
      <c r="C209" s="46" t="n"/>
      <c r="D209" s="46" t="n"/>
      <c r="E209" s="46" t="n"/>
      <c r="F209" s="49" t="n"/>
      <c r="G209" s="46" t="n"/>
      <c r="H209" s="41">
        <f>IF(A209="","",DATE(YEAR(A209),MONTH(A209),1))</f>
        <v/>
      </c>
      <c r="I209" s="46" t="n"/>
    </row>
    <row r="210" ht="14.25" customHeight="1" s="63">
      <c r="A210" s="48" t="n"/>
      <c r="B210" s="48" t="n"/>
      <c r="C210" s="46" t="n"/>
      <c r="D210" s="46" t="n"/>
      <c r="E210" s="46" t="n"/>
      <c r="F210" s="49" t="n"/>
      <c r="G210" s="46" t="n"/>
      <c r="H210" s="41">
        <f>IF(A210="","",DATE(YEAR(A210),MONTH(A210),1))</f>
        <v/>
      </c>
      <c r="I210" s="46" t="n"/>
    </row>
    <row r="211" ht="14.25" customHeight="1" s="63">
      <c r="A211" s="48" t="n"/>
      <c r="B211" s="48" t="n"/>
      <c r="C211" s="46" t="n"/>
      <c r="D211" s="46" t="n"/>
      <c r="E211" s="46" t="n"/>
      <c r="F211" s="49" t="n"/>
      <c r="G211" s="46" t="n"/>
      <c r="H211" s="41">
        <f>IF(A211="","",DATE(YEAR(A211),MONTH(A211),1))</f>
        <v/>
      </c>
      <c r="I211" s="46" t="n"/>
    </row>
    <row r="212" ht="14.25" customHeight="1" s="63">
      <c r="A212" s="48" t="n"/>
      <c r="B212" s="48" t="n"/>
      <c r="C212" s="46" t="n"/>
      <c r="D212" s="46" t="n"/>
      <c r="E212" s="46" t="n"/>
      <c r="F212" s="49" t="n"/>
      <c r="G212" s="46" t="n"/>
      <c r="H212" s="41">
        <f>IF(A212="","",DATE(YEAR(A212),MONTH(A212),1))</f>
        <v/>
      </c>
      <c r="I212" s="46" t="n"/>
    </row>
    <row r="213" ht="14.25" customHeight="1" s="63">
      <c r="A213" s="48" t="n"/>
      <c r="B213" s="48" t="n"/>
      <c r="C213" s="46" t="n"/>
      <c r="D213" s="46" t="n"/>
      <c r="E213" s="46" t="n"/>
      <c r="F213" s="49" t="n"/>
      <c r="G213" s="46" t="n"/>
      <c r="H213" s="41">
        <f>IF(A213="","",DATE(YEAR(A213),MONTH(A213),1))</f>
        <v/>
      </c>
      <c r="I213" s="46" t="n"/>
    </row>
    <row r="214" ht="14.25" customHeight="1" s="63">
      <c r="A214" s="48" t="n"/>
      <c r="B214" s="48" t="n"/>
      <c r="C214" s="46" t="n"/>
      <c r="D214" s="46" t="n"/>
      <c r="E214" s="46" t="n"/>
      <c r="F214" s="49" t="n"/>
      <c r="G214" s="46" t="n"/>
      <c r="H214" s="41">
        <f>IF(A214="","",DATE(YEAR(A214),MONTH(A214),1))</f>
        <v/>
      </c>
      <c r="I214" s="46" t="n"/>
    </row>
    <row r="215" ht="14.25" customHeight="1" s="63">
      <c r="A215" s="48" t="n"/>
      <c r="B215" s="48" t="n"/>
      <c r="C215" s="46" t="n"/>
      <c r="D215" s="46" t="n"/>
      <c r="E215" s="46" t="n"/>
      <c r="F215" s="49" t="n"/>
      <c r="G215" s="46" t="n"/>
      <c r="H215" s="41">
        <f>IF(A215="","",DATE(YEAR(A215),MONTH(A215),1))</f>
        <v/>
      </c>
      <c r="I215" s="46" t="n"/>
    </row>
    <row r="216" ht="14.25" customHeight="1" s="63">
      <c r="A216" s="48" t="n"/>
      <c r="B216" s="48" t="n"/>
      <c r="C216" s="46" t="n"/>
      <c r="D216" s="46" t="n"/>
      <c r="E216" s="46" t="n"/>
      <c r="F216" s="49" t="n"/>
      <c r="G216" s="46" t="n"/>
      <c r="H216" s="41">
        <f>IF(A216="","",DATE(YEAR(A216),MONTH(A216),1))</f>
        <v/>
      </c>
      <c r="I216" s="46" t="n"/>
    </row>
    <row r="217" ht="14.25" customHeight="1" s="63">
      <c r="A217" s="48" t="n"/>
      <c r="B217" s="48" t="n"/>
      <c r="C217" s="46" t="n"/>
      <c r="D217" s="46" t="n"/>
      <c r="E217" s="46" t="n"/>
      <c r="F217" s="49" t="n"/>
      <c r="G217" s="46" t="n"/>
      <c r="H217" s="41">
        <f>IF(A217="","",DATE(YEAR(A217),MONTH(A217),1))</f>
        <v/>
      </c>
      <c r="I217" s="46" t="n"/>
    </row>
    <row r="218" ht="14.25" customHeight="1" s="63">
      <c r="A218" s="48" t="n"/>
      <c r="B218" s="48" t="n"/>
      <c r="C218" s="46" t="n"/>
      <c r="D218" s="46" t="n"/>
      <c r="E218" s="46" t="n"/>
      <c r="F218" s="49" t="n"/>
      <c r="G218" s="46" t="n"/>
      <c r="H218" s="41">
        <f>IF(A218="","",DATE(YEAR(A218),MONTH(A218),1))</f>
        <v/>
      </c>
      <c r="I218" s="46" t="n"/>
    </row>
    <row r="219" ht="14.25" customHeight="1" s="63">
      <c r="A219" s="48" t="n"/>
      <c r="B219" s="48" t="n"/>
      <c r="C219" s="46" t="n"/>
      <c r="D219" s="46" t="n"/>
      <c r="E219" s="46" t="n"/>
      <c r="F219" s="49" t="n"/>
      <c r="G219" s="46" t="n"/>
      <c r="H219" s="41">
        <f>IF(A219="","",DATE(YEAR(A219),MONTH(A219),1))</f>
        <v/>
      </c>
      <c r="I219" s="46" t="n"/>
    </row>
    <row r="220" ht="14.25" customHeight="1" s="63">
      <c r="A220" s="48" t="n"/>
      <c r="B220" s="48" t="n"/>
      <c r="C220" s="46" t="n"/>
      <c r="D220" s="46" t="n"/>
      <c r="E220" s="46" t="n"/>
      <c r="F220" s="49" t="n"/>
      <c r="G220" s="46" t="n"/>
      <c r="H220" s="41">
        <f>IF(A220="","",DATE(YEAR(A220),MONTH(A220),1))</f>
        <v/>
      </c>
      <c r="I220" s="46" t="n"/>
    </row>
    <row r="221" ht="14.25" customHeight="1" s="63">
      <c r="A221" s="48" t="n"/>
      <c r="B221" s="48" t="n"/>
      <c r="C221" s="46" t="n"/>
      <c r="D221" s="46" t="n"/>
      <c r="E221" s="46" t="n"/>
      <c r="F221" s="49" t="n"/>
      <c r="G221" s="46" t="n"/>
      <c r="H221" s="41">
        <f>IF(A221="","",DATE(YEAR(A221),MONTH(A221),1))</f>
        <v/>
      </c>
      <c r="I221" s="46" t="n"/>
    </row>
    <row r="222" ht="14.25" customHeight="1" s="63">
      <c r="A222" s="48" t="n"/>
      <c r="B222" s="48" t="n"/>
      <c r="C222" s="46" t="n"/>
      <c r="D222" s="46" t="n"/>
      <c r="E222" s="46" t="n"/>
      <c r="F222" s="49" t="n"/>
      <c r="G222" s="46" t="n"/>
      <c r="H222" s="41">
        <f>IF(A222="","",DATE(YEAR(A222),MONTH(A222),1))</f>
        <v/>
      </c>
      <c r="I222" s="46" t="n"/>
    </row>
    <row r="223" ht="14.25" customHeight="1" s="63">
      <c r="A223" s="48" t="n"/>
      <c r="B223" s="48" t="n"/>
      <c r="C223" s="46" t="n"/>
      <c r="D223" s="46" t="n"/>
      <c r="E223" s="46" t="n"/>
      <c r="F223" s="49" t="n"/>
      <c r="G223" s="46" t="n"/>
      <c r="H223" s="41">
        <f>IF(A223="","",DATE(YEAR(A223),MONTH(A223),1))</f>
        <v/>
      </c>
      <c r="I223" s="46" t="n"/>
    </row>
    <row r="224" ht="14.25" customHeight="1" s="63">
      <c r="A224" s="48" t="n"/>
      <c r="B224" s="48" t="n"/>
      <c r="C224" s="46" t="n"/>
      <c r="D224" s="46" t="n"/>
      <c r="E224" s="46" t="n"/>
      <c r="F224" s="49" t="n"/>
      <c r="G224" s="46" t="n"/>
      <c r="H224" s="41">
        <f>IF(A224="","",DATE(YEAR(A224),MONTH(A224),1))</f>
        <v/>
      </c>
      <c r="I224" s="46" t="n"/>
    </row>
    <row r="225" ht="14.25" customHeight="1" s="63">
      <c r="A225" s="48" t="n"/>
      <c r="B225" s="48" t="n"/>
      <c r="C225" s="46" t="n"/>
      <c r="D225" s="46" t="n"/>
      <c r="E225" s="46" t="n"/>
      <c r="F225" s="49" t="n"/>
      <c r="G225" s="46" t="n"/>
      <c r="H225" s="41">
        <f>IF(A225="","",DATE(YEAR(A225),MONTH(A225),1))</f>
        <v/>
      </c>
      <c r="I225" s="46" t="n"/>
    </row>
    <row r="226" ht="14.25" customHeight="1" s="63">
      <c r="A226" s="48" t="n"/>
      <c r="B226" s="48" t="n"/>
      <c r="C226" s="46" t="n"/>
      <c r="D226" s="46" t="n"/>
      <c r="E226" s="46" t="n"/>
      <c r="F226" s="49" t="n"/>
      <c r="G226" s="46" t="n"/>
      <c r="H226" s="41">
        <f>IF(A226="","",DATE(YEAR(A226),MONTH(A226),1))</f>
        <v/>
      </c>
      <c r="I226" s="46" t="n"/>
    </row>
    <row r="227" ht="14.25" customHeight="1" s="63">
      <c r="A227" s="48" t="n"/>
      <c r="B227" s="48" t="n"/>
      <c r="C227" s="46" t="n"/>
      <c r="D227" s="46" t="n"/>
      <c r="E227" s="46" t="n"/>
      <c r="F227" s="49" t="n"/>
      <c r="G227" s="46" t="n"/>
      <c r="H227" s="41">
        <f>IF(A227="","",DATE(YEAR(A227),MONTH(A227),1))</f>
        <v/>
      </c>
      <c r="I227" s="46" t="n"/>
    </row>
    <row r="228" ht="14.25" customHeight="1" s="63">
      <c r="A228" s="48" t="n"/>
      <c r="B228" s="48" t="n"/>
      <c r="C228" s="46" t="n"/>
      <c r="D228" s="46" t="n"/>
      <c r="E228" s="46" t="n"/>
      <c r="F228" s="49" t="n"/>
      <c r="G228" s="46" t="n"/>
      <c r="H228" s="41">
        <f>IF(A228="","",DATE(YEAR(A228),MONTH(A228),1))</f>
        <v/>
      </c>
      <c r="I228" s="46" t="n"/>
    </row>
    <row r="229" ht="14.25" customHeight="1" s="63">
      <c r="A229" s="48" t="n"/>
      <c r="B229" s="48" t="n"/>
      <c r="C229" s="46" t="n"/>
      <c r="D229" s="46" t="n"/>
      <c r="E229" s="46" t="n"/>
      <c r="F229" s="49" t="n"/>
      <c r="G229" s="46" t="n"/>
      <c r="H229" s="41">
        <f>IF(A229="","",DATE(YEAR(A229),MONTH(A229),1))</f>
        <v/>
      </c>
      <c r="I229" s="46" t="n"/>
    </row>
    <row r="230" ht="14.25" customHeight="1" s="63">
      <c r="A230" s="48" t="n"/>
      <c r="B230" s="48" t="n"/>
      <c r="C230" s="46" t="n"/>
      <c r="D230" s="46" t="n"/>
      <c r="E230" s="46" t="n"/>
      <c r="F230" s="49" t="n"/>
      <c r="G230" s="46" t="n"/>
      <c r="H230" s="41">
        <f>IF(A230="","",DATE(YEAR(A230),MONTH(A230),1))</f>
        <v/>
      </c>
      <c r="I230" s="46" t="n"/>
    </row>
    <row r="231" ht="14.25" customHeight="1" s="63">
      <c r="A231" s="48" t="n"/>
      <c r="B231" s="48" t="n"/>
      <c r="C231" s="46" t="n"/>
      <c r="D231" s="46" t="n"/>
      <c r="E231" s="46" t="n"/>
      <c r="F231" s="49" t="n"/>
      <c r="G231" s="46" t="n"/>
      <c r="H231" s="41">
        <f>IF(A231="","",DATE(YEAR(A231),MONTH(A231),1))</f>
        <v/>
      </c>
      <c r="I231" s="46" t="n"/>
    </row>
    <row r="232" ht="14.25" customHeight="1" s="63">
      <c r="A232" s="48" t="n"/>
      <c r="B232" s="48" t="n"/>
      <c r="C232" s="46" t="n"/>
      <c r="D232" s="46" t="n"/>
      <c r="E232" s="46" t="n"/>
      <c r="F232" s="49" t="n"/>
      <c r="G232" s="46" t="n"/>
      <c r="H232" s="41">
        <f>IF(A232="","",DATE(YEAR(A232),MONTH(A232),1))</f>
        <v/>
      </c>
      <c r="I232" s="46" t="n"/>
    </row>
    <row r="233" ht="14.25" customHeight="1" s="63">
      <c r="A233" s="48" t="n"/>
      <c r="B233" s="48" t="n"/>
      <c r="C233" s="46" t="n"/>
      <c r="D233" s="46" t="n"/>
      <c r="E233" s="46" t="n"/>
      <c r="F233" s="49" t="n"/>
      <c r="G233" s="46" t="n"/>
      <c r="H233" s="41">
        <f>IF(A233="","",DATE(YEAR(A233),MONTH(A233),1))</f>
        <v/>
      </c>
      <c r="I233" s="46" t="n"/>
    </row>
    <row r="234" ht="14.25" customHeight="1" s="63">
      <c r="A234" s="48" t="n"/>
      <c r="B234" s="48" t="n"/>
      <c r="C234" s="46" t="n"/>
      <c r="D234" s="46" t="n"/>
      <c r="E234" s="46" t="n"/>
      <c r="F234" s="49" t="n"/>
      <c r="G234" s="46" t="n"/>
      <c r="H234" s="41">
        <f>IF(A234="","",DATE(YEAR(A234),MONTH(A234),1))</f>
        <v/>
      </c>
      <c r="I234" s="46" t="n"/>
    </row>
    <row r="235" ht="14.25" customHeight="1" s="63">
      <c r="A235" s="48" t="n"/>
      <c r="B235" s="48" t="n"/>
      <c r="C235" s="46" t="n"/>
      <c r="D235" s="46" t="n"/>
      <c r="E235" s="46" t="n"/>
      <c r="F235" s="49" t="n"/>
      <c r="G235" s="46" t="n"/>
      <c r="H235" s="41">
        <f>IF(A235="","",DATE(YEAR(A235),MONTH(A235),1))</f>
        <v/>
      </c>
      <c r="I235" s="46" t="n"/>
    </row>
    <row r="236" ht="14.25" customHeight="1" s="63">
      <c r="A236" s="48" t="n"/>
      <c r="B236" s="48" t="n"/>
      <c r="C236" s="46" t="n"/>
      <c r="D236" s="46" t="n"/>
      <c r="E236" s="46" t="n"/>
      <c r="F236" s="49" t="n"/>
      <c r="G236" s="46" t="n"/>
      <c r="H236" s="41">
        <f>IF(A236="","",DATE(YEAR(A236),MONTH(A236),1))</f>
        <v/>
      </c>
      <c r="I236" s="46" t="n"/>
    </row>
    <row r="237" ht="14.25" customHeight="1" s="63">
      <c r="A237" s="48" t="n"/>
      <c r="B237" s="48" t="n"/>
      <c r="C237" s="46" t="n"/>
      <c r="D237" s="46" t="n"/>
      <c r="E237" s="46" t="n"/>
      <c r="F237" s="49" t="n"/>
      <c r="G237" s="46" t="n"/>
      <c r="H237" s="41">
        <f>IF(A237="","",DATE(YEAR(A237),MONTH(A237),1))</f>
        <v/>
      </c>
      <c r="I237" s="46" t="n"/>
    </row>
    <row r="238" ht="14.25" customHeight="1" s="63">
      <c r="A238" s="48" t="n"/>
      <c r="B238" s="48" t="n"/>
      <c r="C238" s="46" t="n"/>
      <c r="D238" s="46" t="n"/>
      <c r="E238" s="46" t="n"/>
      <c r="F238" s="49" t="n"/>
      <c r="G238" s="46" t="n"/>
      <c r="H238" s="41">
        <f>IF(A238="","",DATE(YEAR(A238),MONTH(A238),1))</f>
        <v/>
      </c>
      <c r="I238" s="46" t="n"/>
    </row>
    <row r="239" ht="14.25" customHeight="1" s="63">
      <c r="A239" s="48" t="n"/>
      <c r="B239" s="48" t="n"/>
      <c r="C239" s="46" t="n"/>
      <c r="D239" s="46" t="n"/>
      <c r="E239" s="46" t="n"/>
      <c r="F239" s="49" t="n"/>
      <c r="G239" s="46" t="n"/>
      <c r="H239" s="41">
        <f>IF(A239="","",DATE(YEAR(A239),MONTH(A239),1))</f>
        <v/>
      </c>
      <c r="I239" s="46" t="n"/>
    </row>
    <row r="240" ht="14.25" customHeight="1" s="63">
      <c r="A240" s="48" t="n"/>
      <c r="B240" s="48" t="n"/>
      <c r="C240" s="46" t="n"/>
      <c r="D240" s="46" t="n"/>
      <c r="E240" s="46" t="n"/>
      <c r="F240" s="49" t="n"/>
      <c r="G240" s="46" t="n"/>
      <c r="H240" s="41">
        <f>IF(A240="","",DATE(YEAR(A240),MONTH(A240),1))</f>
        <v/>
      </c>
      <c r="I240" s="46" t="n"/>
    </row>
    <row r="241" ht="14.25" customHeight="1" s="63">
      <c r="A241" s="48" t="n"/>
      <c r="B241" s="48" t="n"/>
      <c r="C241" s="46" t="n"/>
      <c r="D241" s="46" t="n"/>
      <c r="E241" s="46" t="n"/>
      <c r="F241" s="49" t="n"/>
      <c r="G241" s="46" t="n"/>
      <c r="H241" s="41">
        <f>IF(A241="","",DATE(YEAR(A241),MONTH(A241),1))</f>
        <v/>
      </c>
      <c r="I241" s="46" t="n"/>
    </row>
    <row r="242" ht="14.25" customHeight="1" s="63">
      <c r="A242" s="48" t="n"/>
      <c r="B242" s="48" t="n"/>
      <c r="C242" s="46" t="n"/>
      <c r="D242" s="46" t="n"/>
      <c r="E242" s="46" t="n"/>
      <c r="F242" s="49" t="n"/>
      <c r="G242" s="46" t="n"/>
      <c r="H242" s="41">
        <f>IF(A242="","",DATE(YEAR(A242),MONTH(A242),1))</f>
        <v/>
      </c>
      <c r="I242" s="46" t="n"/>
    </row>
    <row r="243" ht="14.25" customHeight="1" s="63">
      <c r="A243" s="48" t="n"/>
      <c r="B243" s="48" t="n"/>
      <c r="C243" s="46" t="n"/>
      <c r="D243" s="46" t="n"/>
      <c r="E243" s="46" t="n"/>
      <c r="F243" s="49" t="n"/>
      <c r="G243" s="46" t="n"/>
      <c r="H243" s="41">
        <f>IF(A243="","",DATE(YEAR(A243),MONTH(A243),1))</f>
        <v/>
      </c>
      <c r="I243" s="46" t="n"/>
    </row>
    <row r="244" ht="14.25" customHeight="1" s="63">
      <c r="A244" s="48" t="n"/>
      <c r="B244" s="48" t="n"/>
      <c r="C244" s="46" t="n"/>
      <c r="D244" s="46" t="n"/>
      <c r="E244" s="46" t="n"/>
      <c r="F244" s="49" t="n"/>
      <c r="G244" s="46" t="n"/>
      <c r="H244" s="41">
        <f>IF(A244="","",DATE(YEAR(A244),MONTH(A244),1))</f>
        <v/>
      </c>
      <c r="I244" s="46" t="n"/>
    </row>
    <row r="245" ht="14.25" customHeight="1" s="63">
      <c r="A245" s="48" t="n"/>
      <c r="B245" s="48" t="n"/>
      <c r="C245" s="46" t="n"/>
      <c r="D245" s="46" t="n"/>
      <c r="E245" s="46" t="n"/>
      <c r="F245" s="49" t="n"/>
      <c r="G245" s="46" t="n"/>
      <c r="H245" s="41">
        <f>IF(A245="","",DATE(YEAR(A245),MONTH(A245),1))</f>
        <v/>
      </c>
      <c r="I245" s="46" t="n"/>
    </row>
    <row r="246" ht="14.25" customHeight="1" s="63">
      <c r="A246" s="48" t="n"/>
      <c r="B246" s="48" t="n"/>
      <c r="C246" s="46" t="n"/>
      <c r="D246" s="46" t="n"/>
      <c r="E246" s="46" t="n"/>
      <c r="F246" s="49" t="n"/>
      <c r="G246" s="46" t="n"/>
      <c r="H246" s="41">
        <f>IF(A246="","",DATE(YEAR(A246),MONTH(A246),1))</f>
        <v/>
      </c>
      <c r="I246" s="46" t="n"/>
    </row>
    <row r="247" ht="14.25" customHeight="1" s="63">
      <c r="A247" s="48" t="n"/>
      <c r="B247" s="48" t="n"/>
      <c r="C247" s="46" t="n"/>
      <c r="D247" s="46" t="n"/>
      <c r="E247" s="46" t="n"/>
      <c r="F247" s="49" t="n"/>
      <c r="G247" s="46" t="n"/>
      <c r="H247" s="41">
        <f>IF(A247="","",DATE(YEAR(A247),MONTH(A247),1))</f>
        <v/>
      </c>
      <c r="I247" s="46" t="n"/>
    </row>
    <row r="248" ht="14.25" customHeight="1" s="63">
      <c r="A248" s="48" t="n"/>
      <c r="B248" s="48" t="n"/>
      <c r="C248" s="46" t="n"/>
      <c r="D248" s="46" t="n"/>
      <c r="E248" s="46" t="n"/>
      <c r="F248" s="49" t="n"/>
      <c r="G248" s="46" t="n"/>
      <c r="H248" s="41">
        <f>IF(A248="","",DATE(YEAR(A248),MONTH(A248),1))</f>
        <v/>
      </c>
      <c r="I248" s="46" t="n"/>
    </row>
    <row r="249" ht="14.25" customHeight="1" s="63">
      <c r="A249" s="48" t="n"/>
      <c r="B249" s="48" t="n"/>
      <c r="C249" s="46" t="n"/>
      <c r="D249" s="46" t="n"/>
      <c r="E249" s="46" t="n"/>
      <c r="F249" s="49" t="n"/>
      <c r="G249" s="46" t="n"/>
      <c r="H249" s="41">
        <f>IF(A249="","",DATE(YEAR(A249),MONTH(A249),1))</f>
        <v/>
      </c>
      <c r="I249" s="46" t="n"/>
    </row>
    <row r="250" ht="14.25" customHeight="1" s="63">
      <c r="A250" s="48" t="n"/>
      <c r="B250" s="48" t="n"/>
      <c r="C250" s="46" t="n"/>
      <c r="D250" s="46" t="n"/>
      <c r="E250" s="46" t="n"/>
      <c r="F250" s="49" t="n"/>
      <c r="G250" s="46" t="n"/>
      <c r="H250" s="41">
        <f>IF(A250="","",DATE(YEAR(A250),MONTH(A250),1))</f>
        <v/>
      </c>
      <c r="I250" s="46" t="n"/>
    </row>
    <row r="251" ht="14.25" customHeight="1" s="63">
      <c r="A251" s="48" t="n"/>
      <c r="B251" s="48" t="n"/>
      <c r="C251" s="46" t="n"/>
      <c r="D251" s="46" t="n"/>
      <c r="E251" s="46" t="n"/>
      <c r="F251" s="49" t="n"/>
      <c r="G251" s="46" t="n"/>
      <c r="H251" s="41">
        <f>IF(A251="","",DATE(YEAR(A251),MONTH(A251),1))</f>
        <v/>
      </c>
      <c r="I251" s="46" t="n"/>
    </row>
    <row r="252" ht="14.25" customHeight="1" s="63">
      <c r="A252" s="48" t="n"/>
      <c r="B252" s="48" t="n"/>
      <c r="C252" s="46" t="n"/>
      <c r="D252" s="46" t="n"/>
      <c r="E252" s="46" t="n"/>
      <c r="F252" s="49" t="n"/>
      <c r="G252" s="46" t="n"/>
      <c r="H252" s="41">
        <f>IF(A252="","",DATE(YEAR(A252),MONTH(A252),1))</f>
        <v/>
      </c>
      <c r="I252" s="46" t="n"/>
    </row>
    <row r="253" ht="14.25" customHeight="1" s="63">
      <c r="A253" s="48" t="n"/>
      <c r="B253" s="48" t="n"/>
      <c r="C253" s="46" t="n"/>
      <c r="D253" s="46" t="n"/>
      <c r="E253" s="46" t="n"/>
      <c r="F253" s="49" t="n"/>
      <c r="G253" s="46" t="n"/>
      <c r="H253" s="41">
        <f>IF(A253="","",DATE(YEAR(A253),MONTH(A253),1))</f>
        <v/>
      </c>
      <c r="I253" s="46" t="n"/>
    </row>
    <row r="254" ht="14.25" customHeight="1" s="63">
      <c r="A254" s="48" t="n"/>
      <c r="B254" s="48" t="n"/>
      <c r="C254" s="46" t="n"/>
      <c r="D254" s="46" t="n"/>
      <c r="E254" s="46" t="n"/>
      <c r="F254" s="49" t="n"/>
      <c r="G254" s="46" t="n"/>
      <c r="H254" s="41">
        <f>IF(A254="","",DATE(YEAR(A254),MONTH(A254),1))</f>
        <v/>
      </c>
      <c r="I254" s="46" t="n"/>
    </row>
    <row r="255" ht="14.25" customHeight="1" s="63">
      <c r="A255" s="48" t="n"/>
      <c r="B255" s="48" t="n"/>
      <c r="C255" s="46" t="n"/>
      <c r="D255" s="46" t="n"/>
      <c r="E255" s="46" t="n"/>
      <c r="F255" s="49" t="n"/>
      <c r="G255" s="46" t="n"/>
      <c r="H255" s="41">
        <f>IF(A255="","",DATE(YEAR(A255),MONTH(A255),1))</f>
        <v/>
      </c>
      <c r="I255" s="46" t="n"/>
    </row>
    <row r="256" ht="14.25" customHeight="1" s="63">
      <c r="A256" s="48" t="n"/>
      <c r="B256" s="48" t="n"/>
      <c r="C256" s="46" t="n"/>
      <c r="D256" s="46" t="n"/>
      <c r="E256" s="46" t="n"/>
      <c r="F256" s="49" t="n"/>
      <c r="G256" s="46" t="n"/>
      <c r="H256" s="41">
        <f>IF(A256="","",DATE(YEAR(A256),MONTH(A256),1))</f>
        <v/>
      </c>
      <c r="I256" s="46" t="n"/>
    </row>
    <row r="257" ht="14.25" customHeight="1" s="63">
      <c r="A257" s="48" t="n"/>
      <c r="B257" s="48" t="n"/>
      <c r="C257" s="46" t="n"/>
      <c r="D257" s="46" t="n"/>
      <c r="E257" s="46" t="n"/>
      <c r="F257" s="49" t="n"/>
      <c r="G257" s="46" t="n"/>
      <c r="H257" s="41">
        <f>IF(A257="","",DATE(YEAR(A257),MONTH(A257),1))</f>
        <v/>
      </c>
      <c r="I257" s="46" t="n"/>
    </row>
    <row r="258" ht="14.25" customHeight="1" s="63">
      <c r="A258" s="48" t="n"/>
      <c r="B258" s="48" t="n"/>
      <c r="C258" s="46" t="n"/>
      <c r="D258" s="46" t="n"/>
      <c r="E258" s="46" t="n"/>
      <c r="F258" s="49" t="n"/>
      <c r="G258" s="46" t="n"/>
      <c r="H258" s="41">
        <f>IF(A258="","",DATE(YEAR(A258),MONTH(A258),1))</f>
        <v/>
      </c>
      <c r="I258" s="46" t="n"/>
    </row>
    <row r="259" ht="14.25" customHeight="1" s="63">
      <c r="A259" s="48" t="n"/>
      <c r="B259" s="48" t="n"/>
      <c r="C259" s="46" t="n"/>
      <c r="D259" s="46" t="n"/>
      <c r="E259" s="46" t="n"/>
      <c r="F259" s="49" t="n"/>
      <c r="G259" s="46" t="n"/>
      <c r="H259" s="41">
        <f>IF(A259="","",DATE(YEAR(A259),MONTH(A259),1))</f>
        <v/>
      </c>
      <c r="I259" s="46" t="n"/>
    </row>
    <row r="260" ht="14.25" customHeight="1" s="63">
      <c r="A260" s="48" t="n"/>
      <c r="B260" s="48" t="n"/>
      <c r="C260" s="46" t="n"/>
      <c r="D260" s="46" t="n"/>
      <c r="E260" s="46" t="n"/>
      <c r="F260" s="49" t="n"/>
      <c r="G260" s="46" t="n"/>
      <c r="H260" s="41">
        <f>IF(A260="","",DATE(YEAR(A260),MONTH(A260),1))</f>
        <v/>
      </c>
      <c r="I260" s="46" t="n"/>
    </row>
    <row r="261" ht="14.25" customHeight="1" s="63">
      <c r="A261" s="48" t="n"/>
      <c r="B261" s="48" t="n"/>
      <c r="C261" s="46" t="n"/>
      <c r="D261" s="46" t="n"/>
      <c r="E261" s="46" t="n"/>
      <c r="F261" s="49" t="n"/>
      <c r="G261" s="46" t="n"/>
      <c r="H261" s="41">
        <f>IF(A261="","",DATE(YEAR(A261),MONTH(A261),1))</f>
        <v/>
      </c>
      <c r="I261" s="46" t="n"/>
    </row>
    <row r="262" ht="14.25" customHeight="1" s="63">
      <c r="A262" s="48" t="n"/>
      <c r="B262" s="48" t="n"/>
      <c r="C262" s="46" t="n"/>
      <c r="D262" s="46" t="n"/>
      <c r="E262" s="46" t="n"/>
      <c r="F262" s="49" t="n"/>
      <c r="G262" s="46" t="n"/>
      <c r="H262" s="41">
        <f>IF(A262="","",DATE(YEAR(A262),MONTH(A262),1))</f>
        <v/>
      </c>
      <c r="I262" s="46" t="n"/>
    </row>
    <row r="263" ht="14.25" customHeight="1" s="63">
      <c r="A263" s="48" t="n"/>
      <c r="B263" s="48" t="n"/>
      <c r="C263" s="46" t="n"/>
      <c r="D263" s="46" t="n"/>
      <c r="E263" s="46" t="n"/>
      <c r="F263" s="49" t="n"/>
      <c r="G263" s="46" t="n"/>
      <c r="H263" s="41">
        <f>IF(A263="","",DATE(YEAR(A263),MONTH(A263),1))</f>
        <v/>
      </c>
      <c r="I263" s="46" t="n"/>
    </row>
    <row r="264" ht="14.25" customHeight="1" s="63">
      <c r="A264" s="48" t="n"/>
      <c r="B264" s="48" t="n"/>
      <c r="C264" s="46" t="n"/>
      <c r="D264" s="46" t="n"/>
      <c r="E264" s="46" t="n"/>
      <c r="F264" s="49" t="n"/>
      <c r="G264" s="46" t="n"/>
      <c r="H264" s="41">
        <f>IF(A264="","",DATE(YEAR(A264),MONTH(A264),1))</f>
        <v/>
      </c>
      <c r="I264" s="46" t="n"/>
    </row>
    <row r="265" ht="14.25" customHeight="1" s="63">
      <c r="A265" s="48" t="n"/>
      <c r="B265" s="48" t="n"/>
      <c r="C265" s="46" t="n"/>
      <c r="D265" s="46" t="n"/>
      <c r="E265" s="46" t="n"/>
      <c r="F265" s="49" t="n"/>
      <c r="G265" s="46" t="n"/>
      <c r="H265" s="41">
        <f>IF(A265="","",DATE(YEAR(A265),MONTH(A265),1))</f>
        <v/>
      </c>
      <c r="I265" s="46" t="n"/>
    </row>
    <row r="266" ht="14.25" customHeight="1" s="63">
      <c r="A266" s="48" t="n"/>
      <c r="B266" s="48" t="n"/>
      <c r="C266" s="46" t="n"/>
      <c r="D266" s="46" t="n"/>
      <c r="E266" s="46" t="n"/>
      <c r="F266" s="49" t="n"/>
      <c r="G266" s="46" t="n"/>
      <c r="H266" s="41">
        <f>IF(A266="","",DATE(YEAR(A266),MONTH(A266),1))</f>
        <v/>
      </c>
      <c r="I266" s="46" t="n"/>
    </row>
    <row r="267" ht="14.25" customHeight="1" s="63">
      <c r="A267" s="48" t="n"/>
      <c r="B267" s="48" t="n"/>
      <c r="C267" s="46" t="n"/>
      <c r="D267" s="46" t="n"/>
      <c r="E267" s="46" t="n"/>
      <c r="F267" s="49" t="n"/>
      <c r="G267" s="46" t="n"/>
      <c r="H267" s="41">
        <f>IF(A267="","",DATE(YEAR(A267),MONTH(A267),1))</f>
        <v/>
      </c>
      <c r="I267" s="46" t="n"/>
    </row>
    <row r="268" ht="14.25" customHeight="1" s="63">
      <c r="A268" s="48" t="n"/>
      <c r="B268" s="48" t="n"/>
      <c r="C268" s="46" t="n"/>
      <c r="D268" s="46" t="n"/>
      <c r="E268" s="46" t="n"/>
      <c r="F268" s="49" t="n"/>
      <c r="G268" s="46" t="n"/>
      <c r="H268" s="41">
        <f>IF(A268="","",DATE(YEAR(A268),MONTH(A268),1))</f>
        <v/>
      </c>
      <c r="I268" s="46" t="n"/>
    </row>
    <row r="269" ht="14.25" customHeight="1" s="63">
      <c r="A269" s="48" t="n"/>
      <c r="B269" s="48" t="n"/>
      <c r="C269" s="46" t="n"/>
      <c r="D269" s="46" t="n"/>
      <c r="E269" s="46" t="n"/>
      <c r="F269" s="49" t="n"/>
      <c r="G269" s="46" t="n"/>
      <c r="H269" s="41">
        <f>IF(A269="","",DATE(YEAR(A269),MONTH(A269),1))</f>
        <v/>
      </c>
      <c r="I269" s="46" t="n"/>
    </row>
    <row r="270" ht="14.25" customHeight="1" s="63">
      <c r="A270" s="48" t="n"/>
      <c r="B270" s="48" t="n"/>
      <c r="C270" s="46" t="n"/>
      <c r="D270" s="46" t="n"/>
      <c r="E270" s="46" t="n"/>
      <c r="F270" s="49" t="n"/>
      <c r="G270" s="46" t="n"/>
      <c r="H270" s="41">
        <f>IF(A270="","",DATE(YEAR(A270),MONTH(A270),1))</f>
        <v/>
      </c>
      <c r="I270" s="46" t="n"/>
    </row>
    <row r="271" ht="14.25" customHeight="1" s="63">
      <c r="A271" s="48" t="n"/>
      <c r="B271" s="48" t="n"/>
      <c r="C271" s="46" t="n"/>
      <c r="D271" s="46" t="n"/>
      <c r="E271" s="46" t="n"/>
      <c r="F271" s="49" t="n"/>
      <c r="G271" s="46" t="n"/>
      <c r="H271" s="41">
        <f>IF(A271="","",DATE(YEAR(A271),MONTH(A271),1))</f>
        <v/>
      </c>
      <c r="I271" s="46" t="n"/>
    </row>
    <row r="272" ht="14.25" customHeight="1" s="63">
      <c r="A272" s="48" t="n"/>
      <c r="B272" s="48" t="n"/>
      <c r="C272" s="46" t="n"/>
      <c r="D272" s="46" t="n"/>
      <c r="E272" s="46" t="n"/>
      <c r="F272" s="49" t="n"/>
      <c r="G272" s="46" t="n"/>
      <c r="H272" s="41">
        <f>IF(A272="","",DATE(YEAR(A272),MONTH(A272),1))</f>
        <v/>
      </c>
      <c r="I272" s="46" t="n"/>
    </row>
    <row r="273" ht="14.25" customHeight="1" s="63">
      <c r="A273" s="48" t="n"/>
      <c r="B273" s="48" t="n"/>
      <c r="C273" s="46" t="n"/>
      <c r="D273" s="46" t="n"/>
      <c r="E273" s="46" t="n"/>
      <c r="F273" s="49" t="n"/>
      <c r="G273" s="46" t="n"/>
      <c r="H273" s="41">
        <f>IF(A273="","",DATE(YEAR(A273),MONTH(A273),1))</f>
        <v/>
      </c>
      <c r="I273" s="46" t="n"/>
    </row>
    <row r="274" ht="14.25" customHeight="1" s="63">
      <c r="A274" s="48" t="n"/>
      <c r="B274" s="48" t="n"/>
      <c r="C274" s="46" t="n"/>
      <c r="D274" s="46" t="n"/>
      <c r="E274" s="46" t="n"/>
      <c r="F274" s="49" t="n"/>
      <c r="G274" s="46" t="n"/>
      <c r="H274" s="41">
        <f>IF(A274="","",DATE(YEAR(A274),MONTH(A274),1))</f>
        <v/>
      </c>
      <c r="I274" s="46" t="n"/>
    </row>
    <row r="275" ht="14.25" customHeight="1" s="63">
      <c r="A275" s="48" t="n"/>
      <c r="B275" s="48" t="n"/>
      <c r="C275" s="46" t="n"/>
      <c r="D275" s="46" t="n"/>
      <c r="E275" s="46" t="n"/>
      <c r="F275" s="49" t="n"/>
      <c r="G275" s="46" t="n"/>
      <c r="H275" s="41">
        <f>IF(A275="","",DATE(YEAR(A275),MONTH(A275),1))</f>
        <v/>
      </c>
      <c r="I275" s="46" t="n"/>
    </row>
    <row r="276" ht="14.25" customHeight="1" s="63">
      <c r="A276" s="48" t="n"/>
      <c r="B276" s="48" t="n"/>
      <c r="C276" s="46" t="n"/>
      <c r="D276" s="46" t="n"/>
      <c r="E276" s="46" t="n"/>
      <c r="F276" s="49" t="n"/>
      <c r="G276" s="46" t="n"/>
      <c r="H276" s="41">
        <f>IF(A276="","",DATE(YEAR(A276),MONTH(A276),1))</f>
        <v/>
      </c>
      <c r="I276" s="46" t="n"/>
    </row>
    <row r="277" ht="14.25" customHeight="1" s="63">
      <c r="A277" s="48" t="n"/>
      <c r="B277" s="48" t="n"/>
      <c r="C277" s="46" t="n"/>
      <c r="D277" s="46" t="n"/>
      <c r="E277" s="46" t="n"/>
      <c r="F277" s="49" t="n"/>
      <c r="G277" s="46" t="n"/>
      <c r="H277" s="41">
        <f>IF(A277="","",DATE(YEAR(A277),MONTH(A277),1))</f>
        <v/>
      </c>
      <c r="I277" s="46" t="n"/>
    </row>
    <row r="278" ht="14.25" customHeight="1" s="63">
      <c r="A278" s="48" t="n"/>
      <c r="B278" s="48" t="n"/>
      <c r="C278" s="46" t="n"/>
      <c r="D278" s="46" t="n"/>
      <c r="E278" s="46" t="n"/>
      <c r="F278" s="49" t="n"/>
      <c r="G278" s="46" t="n"/>
      <c r="H278" s="41">
        <f>IF(A278="","",DATE(YEAR(A278),MONTH(A278),1))</f>
        <v/>
      </c>
      <c r="I278" s="46" t="n"/>
    </row>
    <row r="279" ht="14.25" customHeight="1" s="63">
      <c r="A279" s="48" t="n"/>
      <c r="B279" s="48" t="n"/>
      <c r="C279" s="46" t="n"/>
      <c r="D279" s="46" t="n"/>
      <c r="E279" s="46" t="n"/>
      <c r="F279" s="49" t="n"/>
      <c r="G279" s="46" t="n"/>
      <c r="H279" s="41">
        <f>IF(A279="","",DATE(YEAR(A279),MONTH(A279),1))</f>
        <v/>
      </c>
      <c r="I279" s="46" t="n"/>
    </row>
    <row r="280" ht="14.25" customHeight="1" s="63">
      <c r="A280" s="48" t="n"/>
      <c r="B280" s="48" t="n"/>
      <c r="C280" s="46" t="n"/>
      <c r="D280" s="46" t="n"/>
      <c r="E280" s="46" t="n"/>
      <c r="F280" s="49" t="n"/>
      <c r="G280" s="46" t="n"/>
      <c r="H280" s="41">
        <f>IF(A280="","",DATE(YEAR(A280),MONTH(A280),1))</f>
        <v/>
      </c>
      <c r="I280" s="46" t="n"/>
    </row>
    <row r="281" ht="14.25" customHeight="1" s="63">
      <c r="A281" s="48" t="n"/>
      <c r="B281" s="48" t="n"/>
      <c r="C281" s="46" t="n"/>
      <c r="D281" s="46" t="n"/>
      <c r="E281" s="46" t="n"/>
      <c r="F281" s="49" t="n"/>
      <c r="G281" s="46" t="n"/>
      <c r="H281" s="41">
        <f>IF(A281="","",DATE(YEAR(A281),MONTH(A281),1))</f>
        <v/>
      </c>
      <c r="I281" s="46" t="n"/>
    </row>
    <row r="282" ht="14.25" customHeight="1" s="63">
      <c r="A282" s="48" t="n"/>
      <c r="B282" s="48" t="n"/>
      <c r="C282" s="46" t="n"/>
      <c r="D282" s="46" t="n"/>
      <c r="E282" s="46" t="n"/>
      <c r="F282" s="49" t="n"/>
      <c r="G282" s="46" t="n"/>
      <c r="H282" s="41">
        <f>IF(A282="","",DATE(YEAR(A282),MONTH(A282),1))</f>
        <v/>
      </c>
      <c r="I282" s="46" t="n"/>
    </row>
    <row r="283" ht="14.25" customHeight="1" s="63">
      <c r="A283" s="48" t="n"/>
      <c r="B283" s="48" t="n"/>
      <c r="C283" s="46" t="n"/>
      <c r="D283" s="46" t="n"/>
      <c r="E283" s="46" t="n"/>
      <c r="F283" s="49" t="n"/>
      <c r="G283" s="46" t="n"/>
      <c r="H283" s="41">
        <f>IF(A283="","",DATE(YEAR(A283),MONTH(A283),1))</f>
        <v/>
      </c>
      <c r="I283" s="46" t="n"/>
    </row>
    <row r="284" ht="14.25" customHeight="1" s="63">
      <c r="A284" s="48" t="n"/>
      <c r="B284" s="48" t="n"/>
      <c r="C284" s="46" t="n"/>
      <c r="D284" s="46" t="n"/>
      <c r="E284" s="46" t="n"/>
      <c r="F284" s="49" t="n"/>
      <c r="G284" s="46" t="n"/>
      <c r="H284" s="41">
        <f>IF(A284="","",DATE(YEAR(A284),MONTH(A284),1))</f>
        <v/>
      </c>
      <c r="I284" s="46" t="n"/>
    </row>
    <row r="285" ht="14.25" customHeight="1" s="63">
      <c r="A285" s="48" t="n"/>
      <c r="B285" s="48" t="n"/>
      <c r="C285" s="46" t="n"/>
      <c r="D285" s="46" t="n"/>
      <c r="E285" s="46" t="n"/>
      <c r="F285" s="49" t="n"/>
      <c r="G285" s="46" t="n"/>
      <c r="H285" s="41">
        <f>IF(A285="","",DATE(YEAR(A285),MONTH(A285),1))</f>
        <v/>
      </c>
      <c r="I285" s="46" t="n"/>
    </row>
    <row r="286" ht="14.25" customHeight="1" s="63">
      <c r="A286" s="48" t="n"/>
      <c r="B286" s="48" t="n"/>
      <c r="C286" s="46" t="n"/>
      <c r="D286" s="46" t="n"/>
      <c r="E286" s="46" t="n"/>
      <c r="F286" s="49" t="n"/>
      <c r="G286" s="46" t="n"/>
      <c r="H286" s="41">
        <f>IF(A286="","",DATE(YEAR(A286),MONTH(A286),1))</f>
        <v/>
      </c>
      <c r="I286" s="46" t="n"/>
    </row>
    <row r="287" ht="14.25" customHeight="1" s="63">
      <c r="A287" s="48" t="n"/>
      <c r="B287" s="48" t="n"/>
      <c r="C287" s="46" t="n"/>
      <c r="D287" s="46" t="n"/>
      <c r="E287" s="46" t="n"/>
      <c r="F287" s="49" t="n"/>
      <c r="G287" s="46" t="n"/>
      <c r="H287" s="41">
        <f>IF(A287="","",DATE(YEAR(A287),MONTH(A287),1))</f>
        <v/>
      </c>
      <c r="I287" s="46" t="n"/>
    </row>
    <row r="288" ht="14.25" customHeight="1" s="63">
      <c r="A288" s="48" t="n"/>
      <c r="B288" s="48" t="n"/>
      <c r="C288" s="46" t="n"/>
      <c r="D288" s="46" t="n"/>
      <c r="E288" s="46" t="n"/>
      <c r="F288" s="49" t="n"/>
      <c r="G288" s="46" t="n"/>
      <c r="H288" s="41">
        <f>IF(A288="","",DATE(YEAR(A288),MONTH(A288),1))</f>
        <v/>
      </c>
      <c r="I288" s="46" t="n"/>
    </row>
    <row r="289" ht="14.25" customHeight="1" s="63">
      <c r="A289" s="48" t="n"/>
      <c r="B289" s="48" t="n"/>
      <c r="C289" s="46" t="n"/>
      <c r="D289" s="46" t="n"/>
      <c r="E289" s="46" t="n"/>
      <c r="F289" s="49" t="n"/>
      <c r="G289" s="46" t="n"/>
      <c r="H289" s="41">
        <f>IF(A289="","",DATE(YEAR(A289),MONTH(A289),1))</f>
        <v/>
      </c>
      <c r="I289" s="46" t="n"/>
    </row>
    <row r="290" ht="14.25" customHeight="1" s="63">
      <c r="A290" s="48" t="n"/>
      <c r="B290" s="48" t="n"/>
      <c r="C290" s="46" t="n"/>
      <c r="D290" s="46" t="n"/>
      <c r="E290" s="46" t="n"/>
      <c r="F290" s="49" t="n"/>
      <c r="G290" s="46" t="n"/>
      <c r="H290" s="41">
        <f>IF(A290="","",DATE(YEAR(A290),MONTH(A290),1))</f>
        <v/>
      </c>
      <c r="I290" s="46" t="n"/>
    </row>
    <row r="291" ht="14.25" customHeight="1" s="63">
      <c r="A291" s="48" t="n"/>
      <c r="B291" s="48" t="n"/>
      <c r="C291" s="46" t="n"/>
      <c r="D291" s="46" t="n"/>
      <c r="E291" s="46" t="n"/>
      <c r="F291" s="49" t="n"/>
      <c r="G291" s="46" t="n"/>
      <c r="H291" s="41">
        <f>IF(A291="","",DATE(YEAR(A291),MONTH(A291),1))</f>
        <v/>
      </c>
      <c r="I291" s="46" t="n"/>
    </row>
    <row r="292" ht="14.25" customHeight="1" s="63">
      <c r="A292" s="48" t="n"/>
      <c r="B292" s="48" t="n"/>
      <c r="C292" s="46" t="n"/>
      <c r="D292" s="46" t="n"/>
      <c r="E292" s="46" t="n"/>
      <c r="F292" s="49" t="n"/>
      <c r="G292" s="46" t="n"/>
      <c r="H292" s="41">
        <f>IF(A292="","",DATE(YEAR(A292),MONTH(A292),1))</f>
        <v/>
      </c>
      <c r="I292" s="46" t="n"/>
    </row>
    <row r="293" ht="14.25" customHeight="1" s="63">
      <c r="A293" s="48" t="n"/>
      <c r="B293" s="48" t="n"/>
      <c r="C293" s="46" t="n"/>
      <c r="D293" s="46" t="n"/>
      <c r="E293" s="46" t="n"/>
      <c r="F293" s="49" t="n"/>
      <c r="G293" s="46" t="n"/>
      <c r="H293" s="41">
        <f>IF(A293="","",DATE(YEAR(A293),MONTH(A293),1))</f>
        <v/>
      </c>
      <c r="I293" s="46" t="n"/>
    </row>
    <row r="294" ht="14.25" customHeight="1" s="63">
      <c r="A294" s="48" t="n"/>
      <c r="B294" s="48" t="n"/>
      <c r="C294" s="46" t="n"/>
      <c r="D294" s="46" t="n"/>
      <c r="E294" s="46" t="n"/>
      <c r="F294" s="49" t="n"/>
      <c r="G294" s="46" t="n"/>
      <c r="H294" s="41">
        <f>IF(A294="","",DATE(YEAR(A294),MONTH(A294),1))</f>
        <v/>
      </c>
      <c r="I294" s="46" t="n"/>
    </row>
    <row r="295" ht="14.25" customHeight="1" s="63">
      <c r="A295" s="48" t="n"/>
      <c r="B295" s="48" t="n"/>
      <c r="C295" s="46" t="n"/>
      <c r="D295" s="46" t="n"/>
      <c r="E295" s="46" t="n"/>
      <c r="F295" s="49" t="n"/>
      <c r="G295" s="46" t="n"/>
      <c r="H295" s="41">
        <f>IF(A295="","",DATE(YEAR(A295),MONTH(A295),1))</f>
        <v/>
      </c>
      <c r="I295" s="46" t="n"/>
    </row>
    <row r="296" ht="14.25" customHeight="1" s="63">
      <c r="A296" s="48" t="n"/>
      <c r="B296" s="48" t="n"/>
      <c r="C296" s="46" t="n"/>
      <c r="D296" s="46" t="n"/>
      <c r="E296" s="46" t="n"/>
      <c r="F296" s="49" t="n"/>
      <c r="G296" s="46" t="n"/>
      <c r="H296" s="41">
        <f>IF(A296="","",DATE(YEAR(A296),MONTH(A296),1))</f>
        <v/>
      </c>
      <c r="I296" s="46" t="n"/>
    </row>
    <row r="297" ht="14.25" customHeight="1" s="63">
      <c r="A297" s="48" t="n"/>
      <c r="B297" s="48" t="n"/>
      <c r="C297" s="46" t="n"/>
      <c r="D297" s="46" t="n"/>
      <c r="E297" s="46" t="n"/>
      <c r="F297" s="49" t="n"/>
      <c r="G297" s="46" t="n"/>
      <c r="H297" s="41">
        <f>IF(A297="","",DATE(YEAR(A297),MONTH(A297),1))</f>
        <v/>
      </c>
      <c r="I297" s="46" t="n"/>
    </row>
    <row r="298" ht="14.25" customHeight="1" s="63">
      <c r="A298" s="48" t="n"/>
      <c r="B298" s="48" t="n"/>
      <c r="C298" s="46" t="n"/>
      <c r="D298" s="46" t="n"/>
      <c r="E298" s="46" t="n"/>
      <c r="F298" s="49" t="n"/>
      <c r="G298" s="46" t="n"/>
      <c r="H298" s="41">
        <f>IF(A298="","",DATE(YEAR(A298),MONTH(A298),1))</f>
        <v/>
      </c>
      <c r="I298" s="46" t="n"/>
    </row>
    <row r="299" ht="14.25" customHeight="1" s="63">
      <c r="A299" s="48" t="n"/>
      <c r="B299" s="48" t="n"/>
      <c r="C299" s="46" t="n"/>
      <c r="D299" s="46" t="n"/>
      <c r="E299" s="46" t="n"/>
      <c r="F299" s="49" t="n"/>
      <c r="G299" s="46" t="n"/>
      <c r="H299" s="41">
        <f>IF(A299="","",DATE(YEAR(A299),MONTH(A299),1))</f>
        <v/>
      </c>
      <c r="I299" s="46" t="n"/>
    </row>
    <row r="300" ht="14.25" customHeight="1" s="63">
      <c r="A300" s="48" t="n"/>
      <c r="B300" s="48" t="n"/>
      <c r="C300" s="46" t="n"/>
      <c r="D300" s="46" t="n"/>
      <c r="E300" s="46" t="n"/>
      <c r="F300" s="49" t="n"/>
      <c r="G300" s="46" t="n"/>
      <c r="H300" s="41">
        <f>IF(A300="","",DATE(YEAR(A300),MONTH(A300),1))</f>
        <v/>
      </c>
      <c r="I300" s="46" t="n"/>
    </row>
    <row r="301" ht="14.25" customHeight="1" s="63">
      <c r="A301" s="48" t="n"/>
      <c r="B301" s="48" t="n"/>
      <c r="C301" s="46" t="n"/>
      <c r="D301" s="46" t="n"/>
      <c r="E301" s="46" t="n"/>
      <c r="F301" s="49" t="n"/>
      <c r="G301" s="46" t="n"/>
      <c r="H301" s="41">
        <f>IF(A301="","",DATE(YEAR(A301),MONTH(A301),1))</f>
        <v/>
      </c>
      <c r="I301" s="46" t="n"/>
    </row>
    <row r="302" ht="14.25" customHeight="1" s="63">
      <c r="A302" s="48" t="n"/>
      <c r="B302" s="48" t="n"/>
      <c r="C302" s="46" t="n"/>
      <c r="D302" s="46" t="n"/>
      <c r="E302" s="46" t="n"/>
      <c r="F302" s="49" t="n"/>
      <c r="G302" s="46" t="n"/>
      <c r="H302" s="41">
        <f>IF(A302="","",DATE(YEAR(A302),MONTH(A302),1))</f>
        <v/>
      </c>
      <c r="I302" s="46" t="n"/>
    </row>
    <row r="303" ht="14.25" customHeight="1" s="63">
      <c r="A303" s="48" t="n"/>
      <c r="B303" s="48" t="n"/>
      <c r="C303" s="46" t="n"/>
      <c r="D303" s="46" t="n"/>
      <c r="E303" s="46" t="n"/>
      <c r="F303" s="49" t="n"/>
      <c r="G303" s="46" t="n"/>
      <c r="H303" s="41">
        <f>IF(A303="","",DATE(YEAR(A303),MONTH(A303),1))</f>
        <v/>
      </c>
      <c r="I303" s="46" t="n"/>
    </row>
    <row r="304" ht="14.25" customHeight="1" s="63">
      <c r="A304" s="48" t="n"/>
      <c r="B304" s="48" t="n"/>
      <c r="C304" s="46" t="n"/>
      <c r="D304" s="46" t="n"/>
      <c r="E304" s="46" t="n"/>
      <c r="F304" s="49" t="n"/>
      <c r="G304" s="46" t="n"/>
      <c r="H304" s="41">
        <f>IF(A304="","",DATE(YEAR(A304),MONTH(A304),1))</f>
        <v/>
      </c>
      <c r="I304" s="46" t="n"/>
    </row>
    <row r="305" ht="14.25" customHeight="1" s="63">
      <c r="A305" s="48" t="n"/>
      <c r="B305" s="48" t="n"/>
      <c r="C305" s="46" t="n"/>
      <c r="D305" s="46" t="n"/>
      <c r="E305" s="46" t="n"/>
      <c r="F305" s="49" t="n"/>
      <c r="G305" s="46" t="n"/>
      <c r="H305" s="41">
        <f>IF(A305="","",DATE(YEAR(A305),MONTH(A305),1))</f>
        <v/>
      </c>
      <c r="I305" s="46" t="n"/>
    </row>
    <row r="306" ht="14.25" customHeight="1" s="63">
      <c r="A306" s="48" t="n"/>
      <c r="B306" s="48" t="n"/>
      <c r="C306" s="46" t="n"/>
      <c r="D306" s="46" t="n"/>
      <c r="E306" s="46" t="n"/>
      <c r="F306" s="49" t="n"/>
      <c r="G306" s="46" t="n"/>
      <c r="H306" s="41">
        <f>IF(A306="","",DATE(YEAR(A306),MONTH(A306),1))</f>
        <v/>
      </c>
      <c r="I306" s="46" t="n"/>
    </row>
    <row r="307" ht="14.25" customHeight="1" s="63">
      <c r="A307" s="48" t="n"/>
      <c r="B307" s="48" t="n"/>
      <c r="C307" s="46" t="n"/>
      <c r="D307" s="46" t="n"/>
      <c r="E307" s="46" t="n"/>
      <c r="F307" s="49" t="n"/>
      <c r="G307" s="46" t="n"/>
      <c r="H307" s="41">
        <f>IF(A307="","",DATE(YEAR(A307),MONTH(A307),1))</f>
        <v/>
      </c>
      <c r="I307" s="46" t="n"/>
    </row>
    <row r="308" ht="14.25" customHeight="1" s="63">
      <c r="A308" s="48" t="n"/>
      <c r="B308" s="48" t="n"/>
      <c r="C308" s="46" t="n"/>
      <c r="D308" s="46" t="n"/>
      <c r="E308" s="46" t="n"/>
      <c r="F308" s="49" t="n"/>
      <c r="G308" s="46" t="n"/>
      <c r="H308" s="41">
        <f>IF(A308="","",DATE(YEAR(A308),MONTH(A308),1))</f>
        <v/>
      </c>
      <c r="I308" s="46" t="n"/>
    </row>
    <row r="309" ht="14.25" customHeight="1" s="63">
      <c r="A309" s="48" t="n"/>
      <c r="B309" s="48" t="n"/>
      <c r="C309" s="46" t="n"/>
      <c r="D309" s="46" t="n"/>
      <c r="E309" s="46" t="n"/>
      <c r="F309" s="49" t="n"/>
      <c r="G309" s="46" t="n"/>
      <c r="H309" s="41">
        <f>IF(A309="","",DATE(YEAR(A309),MONTH(A309),1))</f>
        <v/>
      </c>
      <c r="I309" s="46" t="n"/>
    </row>
    <row r="310" ht="14.25" customHeight="1" s="63">
      <c r="A310" s="48" t="n"/>
      <c r="B310" s="48" t="n"/>
      <c r="C310" s="46" t="n"/>
      <c r="D310" s="46" t="n"/>
      <c r="E310" s="46" t="n"/>
      <c r="F310" s="49" t="n"/>
      <c r="G310" s="46" t="n"/>
      <c r="H310" s="41">
        <f>IF(A310="","",DATE(YEAR(A310),MONTH(A310),1))</f>
        <v/>
      </c>
      <c r="I310" s="46" t="n"/>
    </row>
    <row r="311" ht="14.25" customHeight="1" s="63">
      <c r="A311" s="48" t="n"/>
      <c r="B311" s="48" t="n"/>
      <c r="C311" s="46" t="n"/>
      <c r="D311" s="46" t="n"/>
      <c r="E311" s="46" t="n"/>
      <c r="F311" s="49" t="n"/>
      <c r="G311" s="46" t="n"/>
      <c r="H311" s="41">
        <f>IF(A311="","",DATE(YEAR(A311),MONTH(A311),1))</f>
        <v/>
      </c>
      <c r="I311" s="46" t="n"/>
    </row>
    <row r="312" ht="14.25" customHeight="1" s="63">
      <c r="A312" s="48" t="n"/>
      <c r="B312" s="48" t="n"/>
      <c r="C312" s="46" t="n"/>
      <c r="D312" s="46" t="n"/>
      <c r="E312" s="46" t="n"/>
      <c r="F312" s="49" t="n"/>
      <c r="G312" s="46" t="n"/>
      <c r="H312" s="41">
        <f>IF(A312="","",DATE(YEAR(A312),MONTH(A312),1))</f>
        <v/>
      </c>
      <c r="I312" s="46" t="n"/>
    </row>
    <row r="313" ht="14.25" customHeight="1" s="63">
      <c r="A313" s="48" t="n"/>
      <c r="B313" s="48" t="n"/>
      <c r="C313" s="46" t="n"/>
      <c r="D313" s="46" t="n"/>
      <c r="E313" s="46" t="n"/>
      <c r="F313" s="49" t="n"/>
      <c r="G313" s="46" t="n"/>
      <c r="H313" s="41">
        <f>IF(A313="","",DATE(YEAR(A313),MONTH(A313),1))</f>
        <v/>
      </c>
      <c r="I313" s="46" t="n"/>
    </row>
    <row r="314" ht="14.25" customHeight="1" s="63">
      <c r="A314" s="48" t="n"/>
      <c r="B314" s="48" t="n"/>
      <c r="C314" s="46" t="n"/>
      <c r="D314" s="46" t="n"/>
      <c r="E314" s="46" t="n"/>
      <c r="F314" s="49" t="n"/>
      <c r="G314" s="46" t="n"/>
      <c r="H314" s="41">
        <f>IF(A314="","",DATE(YEAR(A314),MONTH(A314),1))</f>
        <v/>
      </c>
      <c r="I314" s="46" t="n"/>
    </row>
    <row r="315" ht="14.25" customHeight="1" s="63">
      <c r="A315" s="48" t="n"/>
      <c r="B315" s="48" t="n"/>
      <c r="C315" s="46" t="n"/>
      <c r="D315" s="46" t="n"/>
      <c r="E315" s="46" t="n"/>
      <c r="F315" s="49" t="n"/>
      <c r="G315" s="46" t="n"/>
      <c r="H315" s="41">
        <f>IF(A315="","",DATE(YEAR(A315),MONTH(A315),1))</f>
        <v/>
      </c>
      <c r="I315" s="46" t="n"/>
    </row>
    <row r="316" ht="14.25" customHeight="1" s="63">
      <c r="A316" s="48" t="n"/>
      <c r="B316" s="48" t="n"/>
      <c r="C316" s="46" t="n"/>
      <c r="D316" s="46" t="n"/>
      <c r="E316" s="46" t="n"/>
      <c r="F316" s="49" t="n"/>
      <c r="G316" s="46" t="n"/>
      <c r="H316" s="41">
        <f>IF(A316="","",DATE(YEAR(A316),MONTH(A316),1))</f>
        <v/>
      </c>
      <c r="I316" s="46" t="n"/>
    </row>
    <row r="317" ht="14.25" customHeight="1" s="63">
      <c r="A317" s="48" t="n"/>
      <c r="B317" s="48" t="n"/>
      <c r="C317" s="46" t="n"/>
      <c r="D317" s="46" t="n"/>
      <c r="E317" s="46" t="n"/>
      <c r="F317" s="49" t="n"/>
      <c r="G317" s="46" t="n"/>
      <c r="H317" s="41">
        <f>IF(A317="","",DATE(YEAR(A317),MONTH(A317),1))</f>
        <v/>
      </c>
      <c r="I317" s="46" t="n"/>
    </row>
    <row r="318" ht="14.25" customHeight="1" s="63">
      <c r="A318" s="48" t="n"/>
      <c r="B318" s="48" t="n"/>
      <c r="C318" s="46" t="n"/>
      <c r="D318" s="46" t="n"/>
      <c r="E318" s="46" t="n"/>
      <c r="F318" s="49" t="n"/>
      <c r="G318" s="46" t="n"/>
      <c r="H318" s="41">
        <f>IF(A318="","",DATE(YEAR(A318),MONTH(A318),1))</f>
        <v/>
      </c>
      <c r="I318" s="46" t="n"/>
    </row>
    <row r="319" ht="14.25" customHeight="1" s="63">
      <c r="A319" s="48" t="n"/>
      <c r="B319" s="48" t="n"/>
      <c r="C319" s="46" t="n"/>
      <c r="D319" s="46" t="n"/>
      <c r="E319" s="46" t="n"/>
      <c r="F319" s="49" t="n"/>
      <c r="G319" s="46" t="n"/>
      <c r="H319" s="41">
        <f>IF(A319="","",DATE(YEAR(A319),MONTH(A319),1))</f>
        <v/>
      </c>
      <c r="I319" s="46" t="n"/>
    </row>
    <row r="320" ht="14.25" customHeight="1" s="63">
      <c r="A320" s="48" t="n"/>
      <c r="B320" s="48" t="n"/>
      <c r="C320" s="46" t="n"/>
      <c r="D320" s="46" t="n"/>
      <c r="E320" s="46" t="n"/>
      <c r="F320" s="49" t="n"/>
      <c r="G320" s="46" t="n"/>
      <c r="H320" s="41">
        <f>IF(A320="","",DATE(YEAR(A320),MONTH(A320),1))</f>
        <v/>
      </c>
      <c r="I320" s="46" t="n"/>
    </row>
    <row r="321" ht="14.25" customHeight="1" s="63">
      <c r="A321" s="48" t="n"/>
      <c r="B321" s="48" t="n"/>
      <c r="C321" s="46" t="n"/>
      <c r="D321" s="46" t="n"/>
      <c r="E321" s="46" t="n"/>
      <c r="F321" s="49" t="n"/>
      <c r="G321" s="46" t="n"/>
      <c r="H321" s="41">
        <f>IF(A321="","",DATE(YEAR(A321),MONTH(A321),1))</f>
        <v/>
      </c>
      <c r="I321" s="46" t="n"/>
    </row>
    <row r="322" ht="14.25" customHeight="1" s="63">
      <c r="A322" s="48" t="n"/>
      <c r="B322" s="48" t="n"/>
      <c r="C322" s="46" t="n"/>
      <c r="D322" s="46" t="n"/>
      <c r="E322" s="46" t="n"/>
      <c r="F322" s="49" t="n"/>
      <c r="G322" s="46" t="n"/>
      <c r="H322" s="41">
        <f>IF(A322="","",DATE(YEAR(A322),MONTH(A322),1))</f>
        <v/>
      </c>
      <c r="I322" s="46" t="n"/>
    </row>
    <row r="323" ht="14.25" customHeight="1" s="63">
      <c r="A323" s="48" t="n"/>
      <c r="B323" s="48" t="n"/>
      <c r="C323" s="46" t="n"/>
      <c r="D323" s="46" t="n"/>
      <c r="E323" s="46" t="n"/>
      <c r="F323" s="49" t="n"/>
      <c r="G323" s="46" t="n"/>
      <c r="H323" s="41">
        <f>IF(A323="","",DATE(YEAR(A323),MONTH(A323),1))</f>
        <v/>
      </c>
      <c r="I323" s="46" t="n"/>
    </row>
    <row r="324" ht="14.25" customHeight="1" s="63">
      <c r="A324" s="48" t="n"/>
      <c r="B324" s="48" t="n"/>
      <c r="C324" s="46" t="n"/>
      <c r="D324" s="46" t="n"/>
      <c r="E324" s="46" t="n"/>
      <c r="F324" s="49" t="n"/>
      <c r="G324" s="46" t="n"/>
      <c r="H324" s="41">
        <f>IF(A324="","",DATE(YEAR(A324),MONTH(A324),1))</f>
        <v/>
      </c>
      <c r="I324" s="46" t="n"/>
    </row>
    <row r="325" ht="14.25" customHeight="1" s="63">
      <c r="A325" s="48" t="n"/>
      <c r="B325" s="48" t="n"/>
      <c r="C325" s="46" t="n"/>
      <c r="D325" s="46" t="n"/>
      <c r="E325" s="46" t="n"/>
      <c r="F325" s="49" t="n"/>
      <c r="G325" s="46" t="n"/>
      <c r="H325" s="41">
        <f>IF(A325="","",DATE(YEAR(A325),MONTH(A325),1))</f>
        <v/>
      </c>
      <c r="I325" s="46" t="n"/>
    </row>
    <row r="326" ht="14.25" customHeight="1" s="63">
      <c r="A326" s="48" t="n"/>
      <c r="B326" s="48" t="n"/>
      <c r="C326" s="46" t="n"/>
      <c r="D326" s="46" t="n"/>
      <c r="E326" s="46" t="n"/>
      <c r="F326" s="49" t="n"/>
      <c r="G326" s="46" t="n"/>
      <c r="H326" s="41">
        <f>IF(A326="","",DATE(YEAR(A326),MONTH(A326),1))</f>
        <v/>
      </c>
      <c r="I326" s="46" t="n"/>
    </row>
    <row r="327" ht="14.25" customHeight="1" s="63">
      <c r="A327" s="48" t="n"/>
      <c r="B327" s="48" t="n"/>
      <c r="C327" s="46" t="n"/>
      <c r="D327" s="46" t="n"/>
      <c r="E327" s="46" t="n"/>
      <c r="F327" s="49" t="n"/>
      <c r="G327" s="46" t="n"/>
      <c r="H327" s="41">
        <f>IF(A327="","",DATE(YEAR(A327),MONTH(A327),1))</f>
        <v/>
      </c>
      <c r="I327" s="46" t="n"/>
    </row>
    <row r="328" ht="14.25" customHeight="1" s="63">
      <c r="A328" s="48" t="n"/>
      <c r="B328" s="48" t="n"/>
      <c r="C328" s="46" t="n"/>
      <c r="D328" s="46" t="n"/>
      <c r="E328" s="46" t="n"/>
      <c r="F328" s="49" t="n"/>
      <c r="G328" s="46" t="n"/>
      <c r="H328" s="41">
        <f>IF(A328="","",DATE(YEAR(A328),MONTH(A328),1))</f>
        <v/>
      </c>
      <c r="I328" s="46" t="n"/>
    </row>
    <row r="329" ht="14.25" customHeight="1" s="63">
      <c r="A329" s="48" t="n"/>
      <c r="B329" s="48" t="n"/>
      <c r="C329" s="46" t="n"/>
      <c r="D329" s="46" t="n"/>
      <c r="E329" s="46" t="n"/>
      <c r="F329" s="49" t="n"/>
      <c r="G329" s="46" t="n"/>
      <c r="H329" s="41">
        <f>IF(A329="","",DATE(YEAR(A329),MONTH(A329),1))</f>
        <v/>
      </c>
      <c r="I329" s="46" t="n"/>
    </row>
    <row r="330" ht="14.25" customHeight="1" s="63">
      <c r="A330" s="48" t="n"/>
      <c r="B330" s="48" t="n"/>
      <c r="C330" s="46" t="n"/>
      <c r="D330" s="46" t="n"/>
      <c r="E330" s="46" t="n"/>
      <c r="F330" s="49" t="n"/>
      <c r="G330" s="46" t="n"/>
      <c r="H330" s="41">
        <f>IF(A330="","",DATE(YEAR(A330),MONTH(A330),1))</f>
        <v/>
      </c>
      <c r="I330" s="46" t="n"/>
    </row>
    <row r="331" ht="14.25" customHeight="1" s="63">
      <c r="A331" s="48" t="n"/>
      <c r="B331" s="48" t="n"/>
      <c r="C331" s="46" t="n"/>
      <c r="D331" s="46" t="n"/>
      <c r="E331" s="46" t="n"/>
      <c r="F331" s="49" t="n"/>
      <c r="G331" s="46" t="n"/>
      <c r="H331" s="41">
        <f>IF(A331="","",DATE(YEAR(A331),MONTH(A331),1))</f>
        <v/>
      </c>
      <c r="I331" s="46" t="n"/>
    </row>
    <row r="332" ht="14.25" customHeight="1" s="63">
      <c r="A332" s="48" t="n"/>
      <c r="B332" s="48" t="n"/>
      <c r="C332" s="46" t="n"/>
      <c r="D332" s="46" t="n"/>
      <c r="E332" s="46" t="n"/>
      <c r="F332" s="49" t="n"/>
      <c r="G332" s="46" t="n"/>
      <c r="H332" s="41">
        <f>IF(A332="","",DATE(YEAR(A332),MONTH(A332),1))</f>
        <v/>
      </c>
      <c r="I332" s="46" t="n"/>
    </row>
    <row r="333" ht="14.25" customHeight="1" s="63">
      <c r="A333" s="48" t="n"/>
      <c r="B333" s="48" t="n"/>
      <c r="C333" s="46" t="n"/>
      <c r="D333" s="46" t="n"/>
      <c r="E333" s="46" t="n"/>
      <c r="F333" s="49" t="n"/>
      <c r="G333" s="46" t="n"/>
      <c r="H333" s="41">
        <f>IF(A333="","",DATE(YEAR(A333),MONTH(A333),1))</f>
        <v/>
      </c>
      <c r="I333" s="46" t="n"/>
    </row>
    <row r="334" ht="14.25" customHeight="1" s="63">
      <c r="A334" s="48" t="n"/>
      <c r="B334" s="48" t="n"/>
      <c r="C334" s="46" t="n"/>
      <c r="D334" s="46" t="n"/>
      <c r="E334" s="46" t="n"/>
      <c r="F334" s="49" t="n"/>
      <c r="G334" s="46" t="n"/>
      <c r="H334" s="41">
        <f>IF(A334="","",DATE(YEAR(A334),MONTH(A334),1))</f>
        <v/>
      </c>
      <c r="I334" s="46" t="n"/>
    </row>
    <row r="335" ht="14.25" customHeight="1" s="63">
      <c r="A335" s="48" t="n"/>
      <c r="B335" s="48" t="n"/>
      <c r="C335" s="46" t="n"/>
      <c r="D335" s="46" t="n"/>
      <c r="E335" s="46" t="n"/>
      <c r="F335" s="49" t="n"/>
      <c r="G335" s="46" t="n"/>
      <c r="H335" s="41">
        <f>IF(A335="","",DATE(YEAR(A335),MONTH(A335),1))</f>
        <v/>
      </c>
      <c r="I335" s="46" t="n"/>
    </row>
    <row r="336" ht="14.25" customHeight="1" s="63">
      <c r="A336" s="48" t="n"/>
      <c r="B336" s="48" t="n"/>
      <c r="C336" s="46" t="n"/>
      <c r="D336" s="46" t="n"/>
      <c r="E336" s="46" t="n"/>
      <c r="F336" s="49" t="n"/>
      <c r="G336" s="46" t="n"/>
      <c r="H336" s="41">
        <f>IF(A336="","",DATE(YEAR(A336),MONTH(A336),1))</f>
        <v/>
      </c>
      <c r="I336" s="46" t="n"/>
    </row>
    <row r="337" ht="14.25" customHeight="1" s="63">
      <c r="A337" s="48" t="n"/>
      <c r="B337" s="48" t="n"/>
      <c r="C337" s="46" t="n"/>
      <c r="D337" s="46" t="n"/>
      <c r="E337" s="46" t="n"/>
      <c r="F337" s="49" t="n"/>
      <c r="G337" s="46" t="n"/>
      <c r="H337" s="41">
        <f>IF(A337="","",DATE(YEAR(A337),MONTH(A337),1))</f>
        <v/>
      </c>
      <c r="I337" s="46" t="n"/>
    </row>
    <row r="338" ht="14.25" customHeight="1" s="63">
      <c r="A338" s="48" t="n"/>
      <c r="B338" s="48" t="n"/>
      <c r="C338" s="46" t="n"/>
      <c r="D338" s="46" t="n"/>
      <c r="E338" s="46" t="n"/>
      <c r="F338" s="49" t="n"/>
      <c r="G338" s="46" t="n"/>
      <c r="H338" s="41">
        <f>IF(A338="","",DATE(YEAR(A338),MONTH(A338),1))</f>
        <v/>
      </c>
      <c r="I338" s="46" t="n"/>
    </row>
    <row r="339" ht="14.25" customHeight="1" s="63">
      <c r="A339" s="48" t="n"/>
      <c r="B339" s="48" t="n"/>
      <c r="C339" s="46" t="n"/>
      <c r="D339" s="46" t="n"/>
      <c r="E339" s="46" t="n"/>
      <c r="F339" s="49" t="n"/>
      <c r="G339" s="46" t="n"/>
      <c r="H339" s="41">
        <f>IF(A339="","",DATE(YEAR(A339),MONTH(A339),1))</f>
        <v/>
      </c>
      <c r="I339" s="46" t="n"/>
    </row>
    <row r="340" ht="14.25" customHeight="1" s="63">
      <c r="A340" s="48" t="n"/>
      <c r="B340" s="48" t="n"/>
      <c r="C340" s="46" t="n"/>
      <c r="D340" s="46" t="n"/>
      <c r="E340" s="46" t="n"/>
      <c r="F340" s="49" t="n"/>
      <c r="G340" s="46" t="n"/>
      <c r="H340" s="41">
        <f>IF(A340="","",DATE(YEAR(A340),MONTH(A340),1))</f>
        <v/>
      </c>
      <c r="I340" s="46" t="n"/>
    </row>
    <row r="341" ht="14.25" customHeight="1" s="63">
      <c r="A341" s="48" t="n"/>
      <c r="B341" s="48" t="n"/>
      <c r="C341" s="46" t="n"/>
      <c r="D341" s="46" t="n"/>
      <c r="E341" s="46" t="n"/>
      <c r="F341" s="49" t="n"/>
      <c r="G341" s="46" t="n"/>
      <c r="H341" s="41">
        <f>IF(A341="","",DATE(YEAR(A341),MONTH(A341),1))</f>
        <v/>
      </c>
      <c r="I341" s="46" t="n"/>
    </row>
    <row r="342" ht="14.25" customHeight="1" s="63">
      <c r="A342" s="48" t="n"/>
      <c r="B342" s="48" t="n"/>
      <c r="C342" s="46" t="n"/>
      <c r="D342" s="46" t="n"/>
      <c r="E342" s="46" t="n"/>
      <c r="F342" s="49" t="n"/>
      <c r="G342" s="46" t="n"/>
      <c r="H342" s="41">
        <f>IF(A342="","",DATE(YEAR(A342),MONTH(A342),1))</f>
        <v/>
      </c>
      <c r="I342" s="46" t="n"/>
    </row>
    <row r="343" ht="14.25" customHeight="1" s="63">
      <c r="A343" s="48" t="n"/>
      <c r="B343" s="48" t="n"/>
      <c r="C343" s="46" t="n"/>
      <c r="D343" s="46" t="n"/>
      <c r="E343" s="46" t="n"/>
      <c r="F343" s="49" t="n"/>
      <c r="G343" s="46" t="n"/>
      <c r="H343" s="41">
        <f>IF(A343="","",DATE(YEAR(A343),MONTH(A343),1))</f>
        <v/>
      </c>
      <c r="I343" s="46" t="n"/>
    </row>
    <row r="344" ht="14.25" customHeight="1" s="63">
      <c r="A344" s="48" t="n"/>
      <c r="B344" s="48" t="n"/>
      <c r="C344" s="46" t="n"/>
      <c r="D344" s="46" t="n"/>
      <c r="E344" s="46" t="n"/>
      <c r="F344" s="49" t="n"/>
      <c r="G344" s="46" t="n"/>
      <c r="H344" s="41">
        <f>IF(A344="","",DATE(YEAR(A344),MONTH(A344),1))</f>
        <v/>
      </c>
      <c r="I344" s="46" t="n"/>
    </row>
    <row r="345" ht="14.25" customHeight="1" s="63">
      <c r="A345" s="48" t="n"/>
      <c r="B345" s="48" t="n"/>
      <c r="C345" s="46" t="n"/>
      <c r="D345" s="46" t="n"/>
      <c r="E345" s="46" t="n"/>
      <c r="F345" s="49" t="n"/>
      <c r="G345" s="46" t="n"/>
      <c r="H345" s="41">
        <f>IF(A345="","",DATE(YEAR(A345),MONTH(A345),1))</f>
        <v/>
      </c>
      <c r="I345" s="46" t="n"/>
    </row>
    <row r="346" ht="14.25" customHeight="1" s="63">
      <c r="A346" s="48" t="n"/>
      <c r="B346" s="48" t="n"/>
      <c r="C346" s="46" t="n"/>
      <c r="D346" s="46" t="n"/>
      <c r="E346" s="46" t="n"/>
      <c r="F346" s="49" t="n"/>
      <c r="G346" s="46" t="n"/>
      <c r="H346" s="41">
        <f>IF(A346="","",DATE(YEAR(A346),MONTH(A346),1))</f>
        <v/>
      </c>
      <c r="I346" s="46" t="n"/>
    </row>
    <row r="347" ht="14.25" customHeight="1" s="63">
      <c r="A347" s="48" t="n"/>
      <c r="B347" s="48" t="n"/>
      <c r="C347" s="46" t="n"/>
      <c r="D347" s="46" t="n"/>
      <c r="E347" s="46" t="n"/>
      <c r="F347" s="49" t="n"/>
      <c r="G347" s="46" t="n"/>
      <c r="H347" s="41">
        <f>IF(A347="","",DATE(YEAR(A347),MONTH(A347),1))</f>
        <v/>
      </c>
      <c r="I347" s="46" t="n"/>
    </row>
    <row r="348" ht="14.25" customHeight="1" s="63">
      <c r="A348" s="48" t="n"/>
      <c r="B348" s="48" t="n"/>
      <c r="C348" s="46" t="n"/>
      <c r="D348" s="46" t="n"/>
      <c r="E348" s="46" t="n"/>
      <c r="F348" s="49" t="n"/>
      <c r="G348" s="46" t="n"/>
      <c r="H348" s="41">
        <f>IF(A348="","",DATE(YEAR(A348),MONTH(A348),1))</f>
        <v/>
      </c>
      <c r="I348" s="46" t="n"/>
    </row>
    <row r="349" ht="14.25" customHeight="1" s="63">
      <c r="A349" s="48" t="n"/>
      <c r="B349" s="48" t="n"/>
      <c r="C349" s="46" t="n"/>
      <c r="D349" s="46" t="n"/>
      <c r="E349" s="46" t="n"/>
      <c r="F349" s="49" t="n"/>
      <c r="G349" s="46" t="n"/>
      <c r="H349" s="41">
        <f>IF(A349="","",DATE(YEAR(A349),MONTH(A349),1))</f>
        <v/>
      </c>
      <c r="I349" s="46" t="n"/>
    </row>
    <row r="350" ht="14.25" customHeight="1" s="63">
      <c r="A350" s="48" t="n"/>
      <c r="B350" s="48" t="n"/>
      <c r="C350" s="46" t="n"/>
      <c r="D350" s="46" t="n"/>
      <c r="E350" s="46" t="n"/>
      <c r="F350" s="49" t="n"/>
      <c r="G350" s="46" t="n"/>
      <c r="H350" s="41">
        <f>IF(A350="","",DATE(YEAR(A350),MONTH(A350),1))</f>
        <v/>
      </c>
      <c r="I350" s="46" t="n"/>
    </row>
    <row r="351" ht="14.25" customHeight="1" s="63">
      <c r="A351" s="48" t="n"/>
      <c r="B351" s="48" t="n"/>
      <c r="C351" s="46" t="n"/>
      <c r="D351" s="46" t="n"/>
      <c r="E351" s="46" t="n"/>
      <c r="F351" s="49" t="n"/>
      <c r="G351" s="46" t="n"/>
      <c r="H351" s="41">
        <f>IF(A351="","",DATE(YEAR(A351),MONTH(A351),1))</f>
        <v/>
      </c>
      <c r="I351" s="46" t="n"/>
    </row>
    <row r="352" ht="14.25" customHeight="1" s="63">
      <c r="A352" s="48" t="n"/>
      <c r="B352" s="48" t="n"/>
      <c r="C352" s="46" t="n"/>
      <c r="D352" s="46" t="n"/>
      <c r="E352" s="46" t="n"/>
      <c r="F352" s="49" t="n"/>
      <c r="G352" s="46" t="n"/>
      <c r="H352" s="41">
        <f>IF(A352="","",DATE(YEAR(A352),MONTH(A352),1))</f>
        <v/>
      </c>
      <c r="I352" s="46" t="n"/>
    </row>
    <row r="353" ht="14.25" customHeight="1" s="63">
      <c r="A353" s="48" t="n"/>
      <c r="B353" s="48" t="n"/>
      <c r="C353" s="46" t="n"/>
      <c r="D353" s="46" t="n"/>
      <c r="E353" s="46" t="n"/>
      <c r="F353" s="49" t="n"/>
      <c r="G353" s="46" t="n"/>
      <c r="H353" s="41">
        <f>IF(A353="","",DATE(YEAR(A353),MONTH(A353),1))</f>
        <v/>
      </c>
      <c r="I353" s="46" t="n"/>
    </row>
    <row r="354" ht="14.25" customHeight="1" s="63">
      <c r="A354" s="48" t="n"/>
      <c r="B354" s="48" t="n"/>
      <c r="C354" s="46" t="n"/>
      <c r="D354" s="46" t="n"/>
      <c r="E354" s="46" t="n"/>
      <c r="F354" s="49" t="n"/>
      <c r="G354" s="46" t="n"/>
      <c r="H354" s="41">
        <f>IF(A354="","",DATE(YEAR(A354),MONTH(A354),1))</f>
        <v/>
      </c>
      <c r="I354" s="46" t="n"/>
    </row>
    <row r="355" ht="14.25" customHeight="1" s="63">
      <c r="A355" s="48" t="n"/>
      <c r="B355" s="48" t="n"/>
      <c r="C355" s="46" t="n"/>
      <c r="D355" s="46" t="n"/>
      <c r="E355" s="46" t="n"/>
      <c r="F355" s="49" t="n"/>
      <c r="G355" s="46" t="n"/>
      <c r="H355" s="41">
        <f>IF(A355="","",DATE(YEAR(A355),MONTH(A355),1))</f>
        <v/>
      </c>
      <c r="I355" s="46" t="n"/>
    </row>
    <row r="356" ht="14.25" customHeight="1" s="63">
      <c r="A356" s="48" t="n"/>
      <c r="B356" s="48" t="n"/>
      <c r="C356" s="46" t="n"/>
      <c r="D356" s="46" t="n"/>
      <c r="E356" s="46" t="n"/>
      <c r="F356" s="49" t="n"/>
      <c r="G356" s="46" t="n"/>
      <c r="H356" s="41">
        <f>IF(A356="","",DATE(YEAR(A356),MONTH(A356),1))</f>
        <v/>
      </c>
      <c r="I356" s="46" t="n"/>
    </row>
    <row r="357" ht="14.25" customHeight="1" s="63">
      <c r="A357" s="48" t="n"/>
      <c r="B357" s="48" t="n"/>
      <c r="C357" s="46" t="n"/>
      <c r="D357" s="46" t="n"/>
      <c r="E357" s="46" t="n"/>
      <c r="F357" s="49" t="n"/>
      <c r="G357" s="46" t="n"/>
      <c r="H357" s="41">
        <f>IF(A357="","",DATE(YEAR(A357),MONTH(A357),1))</f>
        <v/>
      </c>
      <c r="I357" s="46" t="n"/>
    </row>
    <row r="358" ht="14.25" customHeight="1" s="63">
      <c r="A358" s="48" t="n"/>
      <c r="B358" s="48" t="n"/>
      <c r="C358" s="46" t="n"/>
      <c r="D358" s="46" t="n"/>
      <c r="E358" s="46" t="n"/>
      <c r="F358" s="49" t="n"/>
      <c r="G358" s="46" t="n"/>
      <c r="H358" s="41">
        <f>IF(A358="","",DATE(YEAR(A358),MONTH(A358),1))</f>
        <v/>
      </c>
      <c r="I358" s="46" t="n"/>
    </row>
    <row r="359" ht="14.25" customHeight="1" s="63">
      <c r="A359" s="48" t="n"/>
      <c r="B359" s="48" t="n"/>
      <c r="C359" s="46" t="n"/>
      <c r="D359" s="46" t="n"/>
      <c r="E359" s="46" t="n"/>
      <c r="F359" s="49" t="n"/>
      <c r="G359" s="46" t="n"/>
      <c r="H359" s="41">
        <f>IF(A359="","",DATE(YEAR(A359),MONTH(A359),1))</f>
        <v/>
      </c>
      <c r="I359" s="46" t="n"/>
    </row>
    <row r="360" ht="14.25" customHeight="1" s="63">
      <c r="A360" s="48" t="n"/>
      <c r="B360" s="48" t="n"/>
      <c r="C360" s="46" t="n"/>
      <c r="D360" s="46" t="n"/>
      <c r="E360" s="46" t="n"/>
      <c r="F360" s="49" t="n"/>
      <c r="G360" s="46" t="n"/>
      <c r="H360" s="41">
        <f>IF(A360="","",DATE(YEAR(A360),MONTH(A360),1))</f>
        <v/>
      </c>
      <c r="I360" s="46" t="n"/>
    </row>
    <row r="361" ht="14.25" customHeight="1" s="63">
      <c r="A361" s="48" t="n"/>
      <c r="B361" s="48" t="n"/>
      <c r="C361" s="46" t="n"/>
      <c r="D361" s="46" t="n"/>
      <c r="E361" s="46" t="n"/>
      <c r="F361" s="49" t="n"/>
      <c r="G361" s="46" t="n"/>
      <c r="H361" s="41">
        <f>IF(A361="","",DATE(YEAR(A361),MONTH(A361),1))</f>
        <v/>
      </c>
      <c r="I361" s="46" t="n"/>
    </row>
    <row r="362" ht="14.25" customHeight="1" s="63">
      <c r="A362" s="48" t="n"/>
      <c r="B362" s="48" t="n"/>
      <c r="C362" s="46" t="n"/>
      <c r="D362" s="46" t="n"/>
      <c r="E362" s="46" t="n"/>
      <c r="F362" s="49" t="n"/>
      <c r="G362" s="46" t="n"/>
      <c r="H362" s="41">
        <f>IF(A362="","",DATE(YEAR(A362),MONTH(A362),1))</f>
        <v/>
      </c>
      <c r="I362" s="46" t="n"/>
    </row>
    <row r="363" ht="14.25" customHeight="1" s="63">
      <c r="A363" s="48" t="n"/>
      <c r="B363" s="48" t="n"/>
      <c r="C363" s="46" t="n"/>
      <c r="D363" s="46" t="n"/>
      <c r="E363" s="46" t="n"/>
      <c r="F363" s="49" t="n"/>
      <c r="G363" s="46" t="n"/>
      <c r="H363" s="41">
        <f>IF(A363="","",DATE(YEAR(A363),MONTH(A363),1))</f>
        <v/>
      </c>
      <c r="I363" s="46" t="n"/>
    </row>
    <row r="364" ht="14.25" customHeight="1" s="63">
      <c r="A364" s="48" t="n"/>
      <c r="B364" s="48" t="n"/>
      <c r="C364" s="46" t="n"/>
      <c r="D364" s="46" t="n"/>
      <c r="E364" s="46" t="n"/>
      <c r="F364" s="49" t="n"/>
      <c r="G364" s="46" t="n"/>
      <c r="H364" s="41">
        <f>IF(A364="","",DATE(YEAR(A364),MONTH(A364),1))</f>
        <v/>
      </c>
      <c r="I364" s="46" t="n"/>
    </row>
    <row r="365" ht="14.25" customHeight="1" s="63">
      <c r="A365" s="48" t="n"/>
      <c r="B365" s="48" t="n"/>
      <c r="C365" s="46" t="n"/>
      <c r="D365" s="46" t="n"/>
      <c r="E365" s="46" t="n"/>
      <c r="F365" s="49" t="n"/>
      <c r="G365" s="46" t="n"/>
      <c r="H365" s="41">
        <f>IF(A365="","",DATE(YEAR(A365),MONTH(A365),1))</f>
        <v/>
      </c>
      <c r="I365" s="46" t="n"/>
    </row>
    <row r="366" ht="14.25" customHeight="1" s="63">
      <c r="A366" s="48" t="n"/>
      <c r="B366" s="48" t="n"/>
      <c r="C366" s="46" t="n"/>
      <c r="D366" s="46" t="n"/>
      <c r="E366" s="46" t="n"/>
      <c r="F366" s="49" t="n"/>
      <c r="G366" s="46" t="n"/>
      <c r="H366" s="41">
        <f>IF(A366="","",DATE(YEAR(A366),MONTH(A366),1))</f>
        <v/>
      </c>
      <c r="I366" s="46" t="n"/>
    </row>
    <row r="367" ht="14.25" customHeight="1" s="63">
      <c r="A367" s="48" t="n"/>
      <c r="B367" s="48" t="n"/>
      <c r="C367" s="46" t="n"/>
      <c r="D367" s="46" t="n"/>
      <c r="E367" s="46" t="n"/>
      <c r="F367" s="49" t="n"/>
      <c r="G367" s="46" t="n"/>
      <c r="H367" s="41">
        <f>IF(A367="","",DATE(YEAR(A367),MONTH(A367),1))</f>
        <v/>
      </c>
      <c r="I367" s="46" t="n"/>
    </row>
    <row r="368" ht="14.25" customHeight="1" s="63">
      <c r="A368" s="48" t="n"/>
      <c r="B368" s="48" t="n"/>
      <c r="C368" s="46" t="n"/>
      <c r="D368" s="46" t="n"/>
      <c r="E368" s="46" t="n"/>
      <c r="F368" s="49" t="n"/>
      <c r="G368" s="46" t="n"/>
      <c r="H368" s="41">
        <f>IF(A368="","",DATE(YEAR(A368),MONTH(A368),1))</f>
        <v/>
      </c>
      <c r="I368" s="46" t="n"/>
    </row>
    <row r="369" ht="14.25" customHeight="1" s="63">
      <c r="A369" s="48" t="n"/>
      <c r="B369" s="48" t="n"/>
      <c r="C369" s="46" t="n"/>
      <c r="D369" s="46" t="n"/>
      <c r="E369" s="46" t="n"/>
      <c r="F369" s="49" t="n"/>
      <c r="G369" s="46" t="n"/>
      <c r="H369" s="41">
        <f>IF(A369="","",DATE(YEAR(A369),MONTH(A369),1))</f>
        <v/>
      </c>
      <c r="I369" s="46" t="n"/>
    </row>
    <row r="370" ht="14.25" customHeight="1" s="63">
      <c r="A370" s="48" t="n"/>
      <c r="B370" s="48" t="n"/>
      <c r="C370" s="46" t="n"/>
      <c r="D370" s="46" t="n"/>
      <c r="E370" s="46" t="n"/>
      <c r="F370" s="49" t="n"/>
      <c r="G370" s="46" t="n"/>
      <c r="H370" s="41">
        <f>IF(A370="","",DATE(YEAR(A370),MONTH(A370),1))</f>
        <v/>
      </c>
      <c r="I370" s="46" t="n"/>
    </row>
    <row r="371" ht="14.25" customHeight="1" s="63">
      <c r="A371" s="48" t="n"/>
      <c r="B371" s="48" t="n"/>
      <c r="C371" s="46" t="n"/>
      <c r="D371" s="46" t="n"/>
      <c r="E371" s="46" t="n"/>
      <c r="F371" s="49" t="n"/>
      <c r="G371" s="46" t="n"/>
      <c r="H371" s="41">
        <f>IF(A371="","",DATE(YEAR(A371),MONTH(A371),1))</f>
        <v/>
      </c>
      <c r="I371" s="46" t="n"/>
    </row>
    <row r="372" ht="14.25" customHeight="1" s="63">
      <c r="A372" s="48" t="n"/>
      <c r="B372" s="48" t="n"/>
      <c r="C372" s="46" t="n"/>
      <c r="D372" s="46" t="n"/>
      <c r="E372" s="46" t="n"/>
      <c r="F372" s="49" t="n"/>
      <c r="G372" s="46" t="n"/>
      <c r="H372" s="41">
        <f>IF(A372="","",DATE(YEAR(A372),MONTH(A372),1))</f>
        <v/>
      </c>
      <c r="I372" s="46" t="n"/>
    </row>
    <row r="373" ht="14.25" customHeight="1" s="63">
      <c r="A373" s="48" t="n"/>
      <c r="B373" s="48" t="n"/>
      <c r="C373" s="46" t="n"/>
      <c r="D373" s="46" t="n"/>
      <c r="E373" s="46" t="n"/>
      <c r="F373" s="49" t="n"/>
      <c r="G373" s="46" t="n"/>
      <c r="H373" s="41">
        <f>IF(A373="","",DATE(YEAR(A373),MONTH(A373),1))</f>
        <v/>
      </c>
      <c r="I373" s="46" t="n"/>
    </row>
    <row r="374" ht="14.25" customHeight="1" s="63">
      <c r="A374" s="48" t="n"/>
      <c r="B374" s="48" t="n"/>
      <c r="C374" s="46" t="n"/>
      <c r="D374" s="46" t="n"/>
      <c r="E374" s="46" t="n"/>
      <c r="F374" s="49" t="n"/>
      <c r="G374" s="46" t="n"/>
      <c r="H374" s="41">
        <f>IF(A374="","",DATE(YEAR(A374),MONTH(A374),1))</f>
        <v/>
      </c>
      <c r="I374" s="46" t="n"/>
    </row>
    <row r="375" ht="14.25" customHeight="1" s="63">
      <c r="A375" s="48" t="n"/>
      <c r="B375" s="48" t="n"/>
      <c r="C375" s="46" t="n"/>
      <c r="D375" s="46" t="n"/>
      <c r="E375" s="46" t="n"/>
      <c r="F375" s="49" t="n"/>
      <c r="G375" s="46" t="n"/>
      <c r="H375" s="41">
        <f>IF(A375="","",DATE(YEAR(A375),MONTH(A375),1))</f>
        <v/>
      </c>
      <c r="I375" s="46" t="n"/>
    </row>
    <row r="376" ht="14.25" customHeight="1" s="63">
      <c r="A376" s="48" t="n"/>
      <c r="B376" s="48" t="n"/>
      <c r="C376" s="46" t="n"/>
      <c r="D376" s="46" t="n"/>
      <c r="E376" s="46" t="n"/>
      <c r="F376" s="49" t="n"/>
      <c r="G376" s="46" t="n"/>
      <c r="H376" s="41">
        <f>IF(A376="","",DATE(YEAR(A376),MONTH(A376),1))</f>
        <v/>
      </c>
      <c r="I376" s="46" t="n"/>
    </row>
    <row r="377" ht="14.25" customHeight="1" s="63">
      <c r="A377" s="48" t="n"/>
      <c r="B377" s="48" t="n"/>
      <c r="C377" s="46" t="n"/>
      <c r="D377" s="46" t="n"/>
      <c r="E377" s="46" t="n"/>
      <c r="F377" s="49" t="n"/>
      <c r="G377" s="46" t="n"/>
      <c r="H377" s="41">
        <f>IF(A377="","",DATE(YEAR(A377),MONTH(A377),1))</f>
        <v/>
      </c>
      <c r="I377" s="46" t="n"/>
    </row>
    <row r="378" ht="14.25" customHeight="1" s="63">
      <c r="A378" s="48" t="n"/>
      <c r="B378" s="48" t="n"/>
      <c r="C378" s="46" t="n"/>
      <c r="D378" s="46" t="n"/>
      <c r="E378" s="46" t="n"/>
      <c r="F378" s="49" t="n"/>
      <c r="G378" s="46" t="n"/>
      <c r="H378" s="41">
        <f>IF(A378="","",DATE(YEAR(A378),MONTH(A378),1))</f>
        <v/>
      </c>
      <c r="I378" s="46" t="n"/>
    </row>
    <row r="379" ht="14.25" customHeight="1" s="63">
      <c r="A379" s="48" t="n"/>
      <c r="B379" s="48" t="n"/>
      <c r="C379" s="46" t="n"/>
      <c r="D379" s="46" t="n"/>
      <c r="E379" s="46" t="n"/>
      <c r="F379" s="49" t="n"/>
      <c r="G379" s="46" t="n"/>
      <c r="H379" s="41">
        <f>IF(A379="","",DATE(YEAR(A379),MONTH(A379),1))</f>
        <v/>
      </c>
      <c r="I379" s="46" t="n"/>
    </row>
    <row r="380" ht="14.25" customHeight="1" s="63">
      <c r="A380" s="48" t="n"/>
      <c r="B380" s="48" t="n"/>
      <c r="C380" s="46" t="n"/>
      <c r="D380" s="46" t="n"/>
      <c r="E380" s="46" t="n"/>
      <c r="F380" s="49" t="n"/>
      <c r="G380" s="46" t="n"/>
      <c r="H380" s="41">
        <f>IF(A380="","",DATE(YEAR(A380),MONTH(A380),1))</f>
        <v/>
      </c>
      <c r="I380" s="46" t="n"/>
    </row>
    <row r="381" ht="14.25" customHeight="1" s="63">
      <c r="A381" s="48" t="n"/>
      <c r="B381" s="48" t="n"/>
      <c r="C381" s="46" t="n"/>
      <c r="D381" s="46" t="n"/>
      <c r="E381" s="46" t="n"/>
      <c r="F381" s="49" t="n"/>
      <c r="G381" s="46" t="n"/>
      <c r="H381" s="41">
        <f>IF(A381="","",DATE(YEAR(A381),MONTH(A381),1))</f>
        <v/>
      </c>
      <c r="I381" s="46" t="n"/>
    </row>
    <row r="382" ht="14.25" customHeight="1" s="63">
      <c r="A382" s="48" t="n"/>
      <c r="B382" s="48" t="n"/>
      <c r="C382" s="46" t="n"/>
      <c r="D382" s="46" t="n"/>
      <c r="E382" s="46" t="n"/>
      <c r="F382" s="49" t="n"/>
      <c r="G382" s="46" t="n"/>
      <c r="H382" s="41">
        <f>IF(A382="","",DATE(YEAR(A382),MONTH(A382),1))</f>
        <v/>
      </c>
      <c r="I382" s="46" t="n"/>
    </row>
    <row r="383" ht="14.25" customHeight="1" s="63">
      <c r="A383" s="48" t="n"/>
      <c r="B383" s="48" t="n"/>
      <c r="C383" s="46" t="n"/>
      <c r="D383" s="46" t="n"/>
      <c r="E383" s="46" t="n"/>
      <c r="F383" s="49" t="n"/>
      <c r="G383" s="46" t="n"/>
      <c r="H383" s="41">
        <f>IF(A383="","",DATE(YEAR(A383),MONTH(A383),1))</f>
        <v/>
      </c>
      <c r="I383" s="46" t="n"/>
    </row>
    <row r="384" ht="14.25" customHeight="1" s="63">
      <c r="A384" s="48" t="n"/>
      <c r="B384" s="48" t="n"/>
      <c r="C384" s="46" t="n"/>
      <c r="D384" s="46" t="n"/>
      <c r="E384" s="46" t="n"/>
      <c r="F384" s="49" t="n"/>
      <c r="G384" s="46" t="n"/>
      <c r="H384" s="41">
        <f>IF(A384="","",DATE(YEAR(A384),MONTH(A384),1))</f>
        <v/>
      </c>
      <c r="I384" s="46" t="n"/>
    </row>
    <row r="385" ht="14.25" customHeight="1" s="63">
      <c r="A385" s="48" t="n"/>
      <c r="B385" s="48" t="n"/>
      <c r="C385" s="46" t="n"/>
      <c r="D385" s="46" t="n"/>
      <c r="E385" s="46" t="n"/>
      <c r="F385" s="49" t="n"/>
      <c r="G385" s="46" t="n"/>
      <c r="H385" s="41">
        <f>IF(A385="","",DATE(YEAR(A385),MONTH(A385),1))</f>
        <v/>
      </c>
      <c r="I385" s="46" t="n"/>
    </row>
    <row r="386" ht="14.25" customHeight="1" s="63">
      <c r="A386" s="48" t="n"/>
      <c r="B386" s="48" t="n"/>
      <c r="C386" s="46" t="n"/>
      <c r="D386" s="46" t="n"/>
      <c r="E386" s="46" t="n"/>
      <c r="F386" s="49" t="n"/>
      <c r="G386" s="46" t="n"/>
      <c r="H386" s="41">
        <f>IF(A386="","",DATE(YEAR(A386),MONTH(A386),1))</f>
        <v/>
      </c>
      <c r="I386" s="46" t="n"/>
    </row>
    <row r="387" ht="14.25" customHeight="1" s="63">
      <c r="A387" s="48" t="n"/>
      <c r="B387" s="48" t="n"/>
      <c r="C387" s="46" t="n"/>
      <c r="D387" s="46" t="n"/>
      <c r="E387" s="46" t="n"/>
      <c r="F387" s="49" t="n"/>
      <c r="G387" s="46" t="n"/>
      <c r="H387" s="41">
        <f>IF(A387="","",DATE(YEAR(A387),MONTH(A387),1))</f>
        <v/>
      </c>
      <c r="I387" s="46" t="n"/>
    </row>
    <row r="388" ht="14.25" customHeight="1" s="63">
      <c r="A388" s="48" t="n"/>
      <c r="B388" s="48" t="n"/>
      <c r="C388" s="46" t="n"/>
      <c r="D388" s="46" t="n"/>
      <c r="E388" s="46" t="n"/>
      <c r="F388" s="49" t="n"/>
      <c r="G388" s="46" t="n"/>
      <c r="H388" s="41">
        <f>IF(A388="","",DATE(YEAR(A388),MONTH(A388),1))</f>
        <v/>
      </c>
      <c r="I388" s="46" t="n"/>
    </row>
    <row r="389" ht="14.25" customHeight="1" s="63">
      <c r="A389" s="48" t="n"/>
      <c r="B389" s="48" t="n"/>
      <c r="C389" s="46" t="n"/>
      <c r="D389" s="46" t="n"/>
      <c r="E389" s="46" t="n"/>
      <c r="F389" s="49" t="n"/>
      <c r="G389" s="46" t="n"/>
      <c r="H389" s="41">
        <f>IF(A389="","",DATE(YEAR(A389),MONTH(A389),1))</f>
        <v/>
      </c>
      <c r="I389" s="46" t="n"/>
    </row>
    <row r="390" ht="14.25" customHeight="1" s="63">
      <c r="A390" s="48" t="n"/>
      <c r="B390" s="48" t="n"/>
      <c r="C390" s="46" t="n"/>
      <c r="D390" s="46" t="n"/>
      <c r="E390" s="46" t="n"/>
      <c r="F390" s="49" t="n"/>
      <c r="G390" s="46" t="n"/>
      <c r="H390" s="41">
        <f>IF(A390="","",DATE(YEAR(A390),MONTH(A390),1))</f>
        <v/>
      </c>
      <c r="I390" s="46" t="n"/>
    </row>
    <row r="391" ht="14.25" customHeight="1" s="63">
      <c r="A391" s="48" t="n"/>
      <c r="B391" s="48" t="n"/>
      <c r="C391" s="46" t="n"/>
      <c r="D391" s="46" t="n"/>
      <c r="E391" s="46" t="n"/>
      <c r="F391" s="49" t="n"/>
      <c r="G391" s="46" t="n"/>
      <c r="H391" s="41">
        <f>IF(A391="","",DATE(YEAR(A391),MONTH(A391),1))</f>
        <v/>
      </c>
      <c r="I391" s="46" t="n"/>
    </row>
    <row r="392" ht="14.25" customHeight="1" s="63">
      <c r="A392" s="48" t="n"/>
      <c r="B392" s="48" t="n"/>
      <c r="C392" s="46" t="n"/>
      <c r="D392" s="46" t="n"/>
      <c r="E392" s="46" t="n"/>
      <c r="F392" s="49" t="n"/>
      <c r="G392" s="46" t="n"/>
      <c r="H392" s="41">
        <f>IF(A392="","",DATE(YEAR(A392),MONTH(A392),1))</f>
        <v/>
      </c>
      <c r="I392" s="46" t="n"/>
    </row>
    <row r="393" ht="14.25" customHeight="1" s="63">
      <c r="A393" s="48" t="n"/>
      <c r="B393" s="48" t="n"/>
      <c r="C393" s="46" t="n"/>
      <c r="D393" s="46" t="n"/>
      <c r="E393" s="46" t="n"/>
      <c r="F393" s="49" t="n"/>
      <c r="G393" s="46" t="n"/>
      <c r="H393" s="41">
        <f>IF(A393="","",DATE(YEAR(A393),MONTH(A393),1))</f>
        <v/>
      </c>
      <c r="I393" s="46" t="n"/>
    </row>
    <row r="394" ht="14.25" customHeight="1" s="63">
      <c r="A394" s="48" t="n"/>
      <c r="B394" s="48" t="n"/>
      <c r="C394" s="46" t="n"/>
      <c r="D394" s="46" t="n"/>
      <c r="E394" s="46" t="n"/>
      <c r="F394" s="49" t="n"/>
      <c r="G394" s="46" t="n"/>
      <c r="H394" s="41">
        <f>IF(A394="","",DATE(YEAR(A394),MONTH(A394),1))</f>
        <v/>
      </c>
      <c r="I394" s="46" t="n"/>
    </row>
    <row r="395" ht="14.25" customHeight="1" s="63">
      <c r="A395" s="48" t="n"/>
      <c r="B395" s="48" t="n"/>
      <c r="C395" s="46" t="n"/>
      <c r="D395" s="46" t="n"/>
      <c r="E395" s="46" t="n"/>
      <c r="F395" s="49" t="n"/>
      <c r="G395" s="46" t="n"/>
      <c r="H395" s="41">
        <f>IF(A395="","",DATE(YEAR(A395),MONTH(A395),1))</f>
        <v/>
      </c>
      <c r="I395" s="46" t="n"/>
    </row>
    <row r="396" ht="14.25" customHeight="1" s="63">
      <c r="A396" s="48" t="n"/>
      <c r="B396" s="48" t="n"/>
      <c r="C396" s="46" t="n"/>
      <c r="D396" s="46" t="n"/>
      <c r="E396" s="46" t="n"/>
      <c r="F396" s="49" t="n"/>
      <c r="G396" s="46" t="n"/>
      <c r="H396" s="41">
        <f>IF(A396="","",DATE(YEAR(A396),MONTH(A396),1))</f>
        <v/>
      </c>
      <c r="I396" s="46" t="n"/>
    </row>
    <row r="397" ht="14.25" customHeight="1" s="63">
      <c r="A397" s="48" t="n"/>
      <c r="B397" s="48" t="n"/>
      <c r="C397" s="46" t="n"/>
      <c r="D397" s="46" t="n"/>
      <c r="E397" s="46" t="n"/>
      <c r="F397" s="49" t="n"/>
      <c r="G397" s="46" t="n"/>
      <c r="H397" s="41">
        <f>IF(A397="","",DATE(YEAR(A397),MONTH(A397),1))</f>
        <v/>
      </c>
      <c r="I397" s="46" t="n"/>
    </row>
    <row r="398" ht="14.25" customHeight="1" s="63">
      <c r="A398" s="48" t="n"/>
      <c r="B398" s="48" t="n"/>
      <c r="C398" s="46" t="n"/>
      <c r="D398" s="46" t="n"/>
      <c r="E398" s="46" t="n"/>
      <c r="F398" s="49" t="n"/>
      <c r="G398" s="46" t="n"/>
      <c r="H398" s="41">
        <f>IF(A398="","",DATE(YEAR(A398),MONTH(A398),1))</f>
        <v/>
      </c>
      <c r="I398" s="46" t="n"/>
    </row>
    <row r="399" ht="14.25" customHeight="1" s="63">
      <c r="A399" s="48" t="n"/>
      <c r="B399" s="48" t="n"/>
      <c r="C399" s="46" t="n"/>
      <c r="D399" s="46" t="n"/>
      <c r="E399" s="46" t="n"/>
      <c r="F399" s="49" t="n"/>
      <c r="G399" s="46" t="n"/>
      <c r="H399" s="41">
        <f>IF(A399="","",DATE(YEAR(A399),MONTH(A399),1))</f>
        <v/>
      </c>
      <c r="I399" s="46" t="n"/>
    </row>
    <row r="400" ht="14.25" customHeight="1" s="63">
      <c r="A400" s="48" t="n"/>
      <c r="B400" s="48" t="n"/>
      <c r="C400" s="46" t="n"/>
      <c r="D400" s="46" t="n"/>
      <c r="E400" s="46" t="n"/>
      <c r="F400" s="49" t="n"/>
      <c r="G400" s="46" t="n"/>
      <c r="H400" s="41">
        <f>IF(A400="","",DATE(YEAR(A400),MONTH(A400),1))</f>
        <v/>
      </c>
      <c r="I400" s="46" t="n"/>
    </row>
    <row r="401" ht="14.25" customHeight="1" s="63">
      <c r="A401" s="48" t="n"/>
      <c r="B401" s="48" t="n"/>
      <c r="C401" s="46" t="n"/>
      <c r="D401" s="46" t="n"/>
      <c r="E401" s="46" t="n"/>
      <c r="F401" s="49" t="n"/>
      <c r="G401" s="46" t="n"/>
      <c r="H401" s="41">
        <f>IF(A401="","",DATE(YEAR(A401),MONTH(A401),1))</f>
        <v/>
      </c>
      <c r="I401" s="46" t="n"/>
    </row>
    <row r="402" ht="14.25" customHeight="1" s="63">
      <c r="A402" s="48" t="n"/>
      <c r="B402" s="48" t="n"/>
      <c r="C402" s="46" t="n"/>
      <c r="D402" s="46" t="n"/>
      <c r="E402" s="46" t="n"/>
      <c r="F402" s="49" t="n"/>
      <c r="G402" s="46" t="n"/>
      <c r="H402" s="41">
        <f>IF(A402="","",DATE(YEAR(A402),MONTH(A402),1))</f>
        <v/>
      </c>
      <c r="I402" s="46" t="n"/>
    </row>
    <row r="403" ht="14.25" customHeight="1" s="63">
      <c r="A403" s="48" t="n"/>
      <c r="B403" s="48" t="n"/>
      <c r="C403" s="46" t="n"/>
      <c r="D403" s="46" t="n"/>
      <c r="E403" s="46" t="n"/>
      <c r="F403" s="49" t="n"/>
      <c r="G403" s="46" t="n"/>
      <c r="H403" s="41">
        <f>IF(A403="","",DATE(YEAR(A403),MONTH(A403),1))</f>
        <v/>
      </c>
      <c r="I403" s="46" t="n"/>
    </row>
    <row r="404" ht="14.25" customHeight="1" s="63">
      <c r="A404" s="48" t="n"/>
      <c r="B404" s="48" t="n"/>
      <c r="C404" s="46" t="n"/>
      <c r="D404" s="46" t="n"/>
      <c r="E404" s="46" t="n"/>
      <c r="F404" s="49" t="n"/>
      <c r="G404" s="46" t="n"/>
      <c r="H404" s="41">
        <f>IF(A404="","",DATE(YEAR(A404),MONTH(A404),1))</f>
        <v/>
      </c>
      <c r="I404" s="46" t="n"/>
    </row>
    <row r="405" ht="14.25" customHeight="1" s="63">
      <c r="A405" s="48" t="n"/>
      <c r="B405" s="48" t="n"/>
      <c r="C405" s="46" t="n"/>
      <c r="D405" s="46" t="n"/>
      <c r="E405" s="46" t="n"/>
      <c r="F405" s="49" t="n"/>
      <c r="G405" s="46" t="n"/>
      <c r="H405" s="41">
        <f>IF(A405="","",DATE(YEAR(A405),MONTH(A405),1))</f>
        <v/>
      </c>
      <c r="I405" s="46" t="n"/>
    </row>
    <row r="406" ht="14.25" customHeight="1" s="63">
      <c r="A406" s="48" t="n"/>
      <c r="B406" s="48" t="n"/>
      <c r="C406" s="46" t="n"/>
      <c r="D406" s="46" t="n"/>
      <c r="E406" s="46" t="n"/>
      <c r="F406" s="49" t="n"/>
      <c r="G406" s="46" t="n"/>
      <c r="H406" s="41">
        <f>IF(A406="","",DATE(YEAR(A406),MONTH(A406),1))</f>
        <v/>
      </c>
      <c r="I406" s="46" t="n"/>
    </row>
    <row r="407" ht="14.25" customHeight="1" s="63">
      <c r="A407" s="48" t="n"/>
      <c r="B407" s="48" t="n"/>
      <c r="C407" s="46" t="n"/>
      <c r="D407" s="46" t="n"/>
      <c r="E407" s="46" t="n"/>
      <c r="F407" s="49" t="n"/>
      <c r="G407" s="46" t="n"/>
      <c r="H407" s="41">
        <f>IF(A407="","",DATE(YEAR(A407),MONTH(A407),1))</f>
        <v/>
      </c>
      <c r="I407" s="46" t="n"/>
    </row>
    <row r="408" ht="14.25" customHeight="1" s="63">
      <c r="A408" s="48" t="n"/>
      <c r="B408" s="48" t="n"/>
      <c r="C408" s="46" t="n"/>
      <c r="D408" s="46" t="n"/>
      <c r="E408" s="46" t="n"/>
      <c r="F408" s="49" t="n"/>
      <c r="G408" s="46" t="n"/>
      <c r="H408" s="41">
        <f>IF(A408="","",DATE(YEAR(A408),MONTH(A408),1))</f>
        <v/>
      </c>
      <c r="I408" s="46" t="n"/>
    </row>
    <row r="409" ht="14.25" customHeight="1" s="63">
      <c r="A409" s="48" t="n"/>
      <c r="B409" s="48" t="n"/>
      <c r="C409" s="46" t="n"/>
      <c r="D409" s="46" t="n"/>
      <c r="E409" s="46" t="n"/>
      <c r="F409" s="49" t="n"/>
      <c r="G409" s="46" t="n"/>
      <c r="H409" s="41">
        <f>IF(A409="","",DATE(YEAR(A409),MONTH(A409),1))</f>
        <v/>
      </c>
      <c r="I409" s="46" t="n"/>
    </row>
    <row r="410" ht="14.25" customHeight="1" s="63">
      <c r="A410" s="48" t="n"/>
      <c r="B410" s="48" t="n"/>
      <c r="C410" s="46" t="n"/>
      <c r="D410" s="46" t="n"/>
      <c r="E410" s="46" t="n"/>
      <c r="F410" s="49" t="n"/>
      <c r="G410" s="46" t="n"/>
      <c r="H410" s="41">
        <f>IF(A410="","",DATE(YEAR(A410),MONTH(A410),1))</f>
        <v/>
      </c>
      <c r="I410" s="46" t="n"/>
    </row>
    <row r="411" ht="14.25" customHeight="1" s="63">
      <c r="A411" s="48" t="n"/>
      <c r="B411" s="48" t="n"/>
      <c r="C411" s="46" t="n"/>
      <c r="D411" s="46" t="n"/>
      <c r="E411" s="46" t="n"/>
      <c r="F411" s="49" t="n"/>
      <c r="G411" s="46" t="n"/>
      <c r="H411" s="41">
        <f>IF(A411="","",DATE(YEAR(A411),MONTH(A411),1))</f>
        <v/>
      </c>
      <c r="I411" s="46" t="n"/>
    </row>
    <row r="412" ht="14.25" customHeight="1" s="63">
      <c r="A412" s="48" t="n"/>
      <c r="B412" s="48" t="n"/>
      <c r="C412" s="46" t="n"/>
      <c r="D412" s="46" t="n"/>
      <c r="E412" s="46" t="n"/>
      <c r="F412" s="49" t="n"/>
      <c r="G412" s="46" t="n"/>
      <c r="H412" s="41">
        <f>IF(A412="","",DATE(YEAR(A412),MONTH(A412),1))</f>
        <v/>
      </c>
      <c r="I412" s="46" t="n"/>
    </row>
    <row r="413" ht="14.25" customHeight="1" s="63">
      <c r="A413" s="48" t="n"/>
      <c r="B413" s="48" t="n"/>
      <c r="C413" s="46" t="n"/>
      <c r="D413" s="46" t="n"/>
      <c r="E413" s="46" t="n"/>
      <c r="F413" s="49" t="n"/>
      <c r="G413" s="46" t="n"/>
      <c r="H413" s="41">
        <f>IF(A413="","",DATE(YEAR(A413),MONTH(A413),1))</f>
        <v/>
      </c>
      <c r="I413" s="46" t="n"/>
    </row>
    <row r="414" ht="14.25" customHeight="1" s="63">
      <c r="A414" s="48" t="n"/>
      <c r="B414" s="48" t="n"/>
      <c r="C414" s="46" t="n"/>
      <c r="D414" s="46" t="n"/>
      <c r="E414" s="46" t="n"/>
      <c r="F414" s="49" t="n"/>
      <c r="G414" s="46" t="n"/>
      <c r="H414" s="41">
        <f>IF(A414="","",DATE(YEAR(A414),MONTH(A414),1))</f>
        <v/>
      </c>
      <c r="I414" s="46" t="n"/>
    </row>
    <row r="415" ht="14.25" customHeight="1" s="63">
      <c r="A415" s="48" t="n"/>
      <c r="B415" s="48" t="n"/>
      <c r="C415" s="46" t="n"/>
      <c r="D415" s="46" t="n"/>
      <c r="E415" s="46" t="n"/>
      <c r="F415" s="49" t="n"/>
      <c r="G415" s="46" t="n"/>
      <c r="H415" s="41">
        <f>IF(A415="","",DATE(YEAR(A415),MONTH(A415),1))</f>
        <v/>
      </c>
      <c r="I415" s="46" t="n"/>
    </row>
    <row r="416" ht="14.25" customHeight="1" s="63">
      <c r="A416" s="48" t="n"/>
      <c r="B416" s="48" t="n"/>
      <c r="C416" s="46" t="n"/>
      <c r="D416" s="46" t="n"/>
      <c r="E416" s="46" t="n"/>
      <c r="F416" s="49" t="n"/>
      <c r="G416" s="46" t="n"/>
      <c r="H416" s="41">
        <f>IF(A416="","",DATE(YEAR(A416),MONTH(A416),1))</f>
        <v/>
      </c>
      <c r="I416" s="46" t="n"/>
    </row>
    <row r="417" ht="14.25" customHeight="1" s="63">
      <c r="A417" s="48" t="n"/>
      <c r="B417" s="48" t="n"/>
      <c r="C417" s="46" t="n"/>
      <c r="D417" s="46" t="n"/>
      <c r="E417" s="46" t="n"/>
      <c r="F417" s="49" t="n"/>
      <c r="G417" s="46" t="n"/>
      <c r="H417" s="41">
        <f>IF(A417="","",DATE(YEAR(A417),MONTH(A417),1))</f>
        <v/>
      </c>
      <c r="I417" s="46" t="n"/>
    </row>
    <row r="418" ht="14.25" customHeight="1" s="63">
      <c r="A418" s="48" t="n"/>
      <c r="B418" s="48" t="n"/>
      <c r="C418" s="46" t="n"/>
      <c r="D418" s="46" t="n"/>
      <c r="E418" s="46" t="n"/>
      <c r="F418" s="49" t="n"/>
      <c r="G418" s="46" t="n"/>
      <c r="H418" s="41">
        <f>IF(A418="","",DATE(YEAR(A418),MONTH(A418),1))</f>
        <v/>
      </c>
      <c r="I418" s="46" t="n"/>
    </row>
    <row r="419" ht="14.25" customHeight="1" s="63">
      <c r="A419" s="48" t="n"/>
      <c r="B419" s="48" t="n"/>
      <c r="C419" s="46" t="n"/>
      <c r="D419" s="46" t="n"/>
      <c r="E419" s="46" t="n"/>
      <c r="F419" s="49" t="n"/>
      <c r="G419" s="46" t="n"/>
      <c r="H419" s="41">
        <f>IF(A419="","",DATE(YEAR(A419),MONTH(A419),1))</f>
        <v/>
      </c>
      <c r="I419" s="46" t="n"/>
    </row>
    <row r="420" ht="14.25" customHeight="1" s="63">
      <c r="A420" s="48" t="n"/>
      <c r="B420" s="48" t="n"/>
      <c r="C420" s="46" t="n"/>
      <c r="D420" s="46" t="n"/>
      <c r="E420" s="46" t="n"/>
      <c r="F420" s="49" t="n"/>
      <c r="G420" s="46" t="n"/>
      <c r="H420" s="41">
        <f>IF(A420="","",DATE(YEAR(A420),MONTH(A420),1))</f>
        <v/>
      </c>
      <c r="I420" s="46" t="n"/>
    </row>
    <row r="421" ht="14.25" customHeight="1" s="63">
      <c r="A421" s="48" t="n"/>
      <c r="B421" s="48" t="n"/>
      <c r="C421" s="46" t="n"/>
      <c r="D421" s="46" t="n"/>
      <c r="E421" s="46" t="n"/>
      <c r="F421" s="49" t="n"/>
      <c r="G421" s="46" t="n"/>
      <c r="H421" s="41">
        <f>IF(A421="","",DATE(YEAR(A421),MONTH(A421),1))</f>
        <v/>
      </c>
      <c r="I421" s="46" t="n"/>
    </row>
    <row r="422" ht="14.25" customHeight="1" s="63">
      <c r="A422" s="48" t="n"/>
      <c r="B422" s="48" t="n"/>
      <c r="C422" s="46" t="n"/>
      <c r="D422" s="46" t="n"/>
      <c r="E422" s="46" t="n"/>
      <c r="F422" s="49" t="n"/>
      <c r="G422" s="46" t="n"/>
      <c r="H422" s="41">
        <f>IF(A422="","",DATE(YEAR(A422),MONTH(A422),1))</f>
        <v/>
      </c>
      <c r="I422" s="46" t="n"/>
    </row>
    <row r="423" ht="14.25" customHeight="1" s="63">
      <c r="A423" s="48" t="n"/>
      <c r="B423" s="48" t="n"/>
      <c r="C423" s="46" t="n"/>
      <c r="D423" s="46" t="n"/>
      <c r="E423" s="46" t="n"/>
      <c r="F423" s="49" t="n"/>
      <c r="G423" s="46" t="n"/>
      <c r="H423" s="41">
        <f>IF(A423="","",DATE(YEAR(A423),MONTH(A423),1))</f>
        <v/>
      </c>
      <c r="I423" s="46" t="n"/>
    </row>
    <row r="424" ht="14.25" customHeight="1" s="63">
      <c r="A424" s="48" t="n"/>
      <c r="B424" s="48" t="n"/>
      <c r="C424" s="46" t="n"/>
      <c r="D424" s="46" t="n"/>
      <c r="E424" s="46" t="n"/>
      <c r="F424" s="49" t="n"/>
      <c r="G424" s="46" t="n"/>
      <c r="H424" s="41">
        <f>IF(A424="","",DATE(YEAR(A424),MONTH(A424),1))</f>
        <v/>
      </c>
      <c r="I424" s="46" t="n"/>
    </row>
    <row r="425" ht="14.25" customHeight="1" s="63">
      <c r="A425" s="48" t="n"/>
      <c r="B425" s="48" t="n"/>
      <c r="C425" s="46" t="n"/>
      <c r="D425" s="46" t="n"/>
      <c r="E425" s="46" t="n"/>
      <c r="F425" s="49" t="n"/>
      <c r="G425" s="46" t="n"/>
      <c r="H425" s="41">
        <f>IF(A425="","",DATE(YEAR(A425),MONTH(A425),1))</f>
        <v/>
      </c>
      <c r="I425" s="46" t="n"/>
    </row>
    <row r="426" ht="14.25" customHeight="1" s="63">
      <c r="A426" s="48" t="n"/>
      <c r="B426" s="48" t="n"/>
      <c r="C426" s="46" t="n"/>
      <c r="D426" s="46" t="n"/>
      <c r="E426" s="46" t="n"/>
      <c r="F426" s="49" t="n"/>
      <c r="G426" s="46" t="n"/>
      <c r="H426" s="41">
        <f>IF(A426="","",DATE(YEAR(A426),MONTH(A426),1))</f>
        <v/>
      </c>
      <c r="I426" s="46" t="n"/>
    </row>
    <row r="427" ht="14.25" customHeight="1" s="63">
      <c r="A427" s="48" t="n"/>
      <c r="B427" s="48" t="n"/>
      <c r="C427" s="46" t="n"/>
      <c r="D427" s="46" t="n"/>
      <c r="E427" s="46" t="n"/>
      <c r="F427" s="49" t="n"/>
      <c r="G427" s="46" t="n"/>
      <c r="H427" s="41">
        <f>IF(A427="","",DATE(YEAR(A427),MONTH(A427),1))</f>
        <v/>
      </c>
      <c r="I427" s="46" t="n"/>
    </row>
    <row r="428" ht="14.25" customHeight="1" s="63">
      <c r="A428" s="48" t="n"/>
      <c r="B428" s="48" t="n"/>
      <c r="C428" s="46" t="n"/>
      <c r="D428" s="46" t="n"/>
      <c r="E428" s="46" t="n"/>
      <c r="F428" s="49" t="n"/>
      <c r="G428" s="46" t="n"/>
      <c r="H428" s="41">
        <f>IF(A428="","",DATE(YEAR(A428),MONTH(A428),1))</f>
        <v/>
      </c>
      <c r="I428" s="46" t="n"/>
    </row>
    <row r="429" ht="14.25" customHeight="1" s="63">
      <c r="A429" s="48" t="n"/>
      <c r="B429" s="48" t="n"/>
      <c r="C429" s="46" t="n"/>
      <c r="D429" s="46" t="n"/>
      <c r="E429" s="46" t="n"/>
      <c r="F429" s="49" t="n"/>
      <c r="G429" s="46" t="n"/>
      <c r="H429" s="41">
        <f>IF(A429="","",DATE(YEAR(A429),MONTH(A429),1))</f>
        <v/>
      </c>
      <c r="I429" s="46" t="n"/>
    </row>
    <row r="430" ht="14.25" customHeight="1" s="63">
      <c r="A430" s="48" t="n"/>
      <c r="B430" s="48" t="n"/>
      <c r="C430" s="46" t="n"/>
      <c r="D430" s="46" t="n"/>
      <c r="E430" s="46" t="n"/>
      <c r="F430" s="49" t="n"/>
      <c r="G430" s="46" t="n"/>
      <c r="H430" s="41">
        <f>IF(A430="","",DATE(YEAR(A430),MONTH(A430),1))</f>
        <v/>
      </c>
      <c r="I430" s="46" t="n"/>
    </row>
    <row r="431" ht="14.25" customHeight="1" s="63">
      <c r="A431" s="48" t="n"/>
      <c r="B431" s="48" t="n"/>
      <c r="C431" s="46" t="n"/>
      <c r="D431" s="46" t="n"/>
      <c r="E431" s="46" t="n"/>
      <c r="F431" s="49" t="n"/>
      <c r="G431" s="46" t="n"/>
      <c r="H431" s="41">
        <f>IF(A431="","",DATE(YEAR(A431),MONTH(A431),1))</f>
        <v/>
      </c>
      <c r="I431" s="46" t="n"/>
    </row>
    <row r="432" ht="14.25" customHeight="1" s="63">
      <c r="A432" s="48" t="n"/>
      <c r="B432" s="48" t="n"/>
      <c r="C432" s="46" t="n"/>
      <c r="D432" s="46" t="n"/>
      <c r="E432" s="46" t="n"/>
      <c r="F432" s="49" t="n"/>
      <c r="G432" s="46" t="n"/>
      <c r="H432" s="41">
        <f>IF(A432="","",DATE(YEAR(A432),MONTH(A432),1))</f>
        <v/>
      </c>
      <c r="I432" s="46" t="n"/>
    </row>
    <row r="433" ht="14.25" customHeight="1" s="63">
      <c r="A433" s="48" t="n"/>
      <c r="B433" s="48" t="n"/>
      <c r="C433" s="46" t="n"/>
      <c r="D433" s="46" t="n"/>
      <c r="E433" s="46" t="n"/>
      <c r="F433" s="49" t="n"/>
      <c r="G433" s="46" t="n"/>
      <c r="H433" s="41">
        <f>IF(A433="","",DATE(YEAR(A433),MONTH(A433),1))</f>
        <v/>
      </c>
      <c r="I433" s="46" t="n"/>
    </row>
    <row r="434" ht="14.25" customHeight="1" s="63">
      <c r="A434" s="48" t="n"/>
      <c r="B434" s="48" t="n"/>
      <c r="C434" s="46" t="n"/>
      <c r="D434" s="46" t="n"/>
      <c r="E434" s="46" t="n"/>
      <c r="F434" s="49" t="n"/>
      <c r="G434" s="46" t="n"/>
      <c r="H434" s="41">
        <f>IF(A434="","",DATE(YEAR(A434),MONTH(A434),1))</f>
        <v/>
      </c>
      <c r="I434" s="46" t="n"/>
    </row>
    <row r="435" ht="14.25" customHeight="1" s="63">
      <c r="A435" s="48" t="n"/>
      <c r="B435" s="48" t="n"/>
      <c r="C435" s="46" t="n"/>
      <c r="D435" s="46" t="n"/>
      <c r="E435" s="46" t="n"/>
      <c r="F435" s="49" t="n"/>
      <c r="G435" s="46" t="n"/>
      <c r="H435" s="41">
        <f>IF(A435="","",DATE(YEAR(A435),MONTH(A435),1))</f>
        <v/>
      </c>
      <c r="I435" s="46" t="n"/>
    </row>
    <row r="436" ht="14.25" customHeight="1" s="63">
      <c r="A436" s="48" t="n"/>
      <c r="B436" s="48" t="n"/>
      <c r="C436" s="46" t="n"/>
      <c r="D436" s="46" t="n"/>
      <c r="E436" s="46" t="n"/>
      <c r="F436" s="49" t="n"/>
      <c r="G436" s="46" t="n"/>
      <c r="H436" s="41">
        <f>IF(A436="","",DATE(YEAR(A436),MONTH(A436),1))</f>
        <v/>
      </c>
      <c r="I436" s="46" t="n"/>
    </row>
    <row r="437" ht="14.25" customHeight="1" s="63">
      <c r="A437" s="48" t="n"/>
      <c r="B437" s="48" t="n"/>
      <c r="C437" s="46" t="n"/>
      <c r="D437" s="46" t="n"/>
      <c r="E437" s="46" t="n"/>
      <c r="F437" s="49" t="n"/>
      <c r="G437" s="46" t="n"/>
      <c r="H437" s="41">
        <f>IF(A437="","",DATE(YEAR(A437),MONTH(A437),1))</f>
        <v/>
      </c>
      <c r="I437" s="46" t="n"/>
    </row>
    <row r="438" ht="14.25" customHeight="1" s="63">
      <c r="A438" s="48" t="n"/>
      <c r="B438" s="48" t="n"/>
      <c r="C438" s="46" t="n"/>
      <c r="D438" s="46" t="n"/>
      <c r="E438" s="46" t="n"/>
      <c r="F438" s="49" t="n"/>
      <c r="G438" s="46" t="n"/>
      <c r="H438" s="41">
        <f>IF(A438="","",DATE(YEAR(A438),MONTH(A438),1))</f>
        <v/>
      </c>
      <c r="I438" s="46" t="n"/>
    </row>
    <row r="439" ht="14.25" customHeight="1" s="63">
      <c r="A439" s="48" t="n"/>
      <c r="B439" s="48" t="n"/>
      <c r="C439" s="46" t="n"/>
      <c r="D439" s="46" t="n"/>
      <c r="E439" s="46" t="n"/>
      <c r="F439" s="49" t="n"/>
      <c r="G439" s="46" t="n"/>
      <c r="H439" s="41">
        <f>IF(A439="","",DATE(YEAR(A439),MONTH(A439),1))</f>
        <v/>
      </c>
      <c r="I439" s="46" t="n"/>
    </row>
    <row r="440" ht="14.25" customHeight="1" s="63">
      <c r="A440" s="48" t="n"/>
      <c r="B440" s="48" t="n"/>
      <c r="C440" s="46" t="n"/>
      <c r="D440" s="46" t="n"/>
      <c r="E440" s="46" t="n"/>
      <c r="F440" s="49" t="n"/>
      <c r="G440" s="46" t="n"/>
      <c r="H440" s="41">
        <f>IF(A440="","",DATE(YEAR(A440),MONTH(A440),1))</f>
        <v/>
      </c>
      <c r="I440" s="46" t="n"/>
    </row>
    <row r="441" ht="14.25" customHeight="1" s="63">
      <c r="A441" s="48" t="n"/>
      <c r="B441" s="48" t="n"/>
      <c r="C441" s="46" t="n"/>
      <c r="D441" s="46" t="n"/>
      <c r="E441" s="46" t="n"/>
      <c r="F441" s="49" t="n"/>
      <c r="G441" s="46" t="n"/>
      <c r="H441" s="41">
        <f>IF(A441="","",DATE(YEAR(A441),MONTH(A441),1))</f>
        <v/>
      </c>
      <c r="I441" s="46" t="n"/>
    </row>
    <row r="442" ht="14.25" customHeight="1" s="63">
      <c r="A442" s="48" t="n"/>
      <c r="B442" s="48" t="n"/>
      <c r="C442" s="46" t="n"/>
      <c r="D442" s="46" t="n"/>
      <c r="E442" s="46" t="n"/>
      <c r="F442" s="49" t="n"/>
      <c r="G442" s="46" t="n"/>
      <c r="H442" s="41">
        <f>IF(A442="","",DATE(YEAR(A442),MONTH(A442),1))</f>
        <v/>
      </c>
      <c r="I442" s="46" t="n"/>
    </row>
    <row r="443" ht="14.25" customHeight="1" s="63">
      <c r="A443" s="48" t="n"/>
      <c r="B443" s="48" t="n"/>
      <c r="C443" s="46" t="n"/>
      <c r="D443" s="46" t="n"/>
      <c r="E443" s="46" t="n"/>
      <c r="F443" s="49" t="n"/>
      <c r="G443" s="46" t="n"/>
      <c r="H443" s="41">
        <f>IF(A443="","",DATE(YEAR(A443),MONTH(A443),1))</f>
        <v/>
      </c>
      <c r="I443" s="46" t="n"/>
    </row>
    <row r="444" ht="14.25" customHeight="1" s="63">
      <c r="A444" s="48" t="n"/>
      <c r="B444" s="48" t="n"/>
      <c r="C444" s="46" t="n"/>
      <c r="D444" s="46" t="n"/>
      <c r="E444" s="46" t="n"/>
      <c r="F444" s="49" t="n"/>
      <c r="G444" s="46" t="n"/>
      <c r="H444" s="41">
        <f>IF(A444="","",DATE(YEAR(A444),MONTH(A444),1))</f>
        <v/>
      </c>
      <c r="I444" s="46" t="n"/>
    </row>
    <row r="445" ht="14.25" customHeight="1" s="63">
      <c r="A445" s="48" t="n"/>
      <c r="B445" s="48" t="n"/>
      <c r="C445" s="46" t="n"/>
      <c r="D445" s="46" t="n"/>
      <c r="E445" s="46" t="n"/>
      <c r="F445" s="49" t="n"/>
      <c r="G445" s="46" t="n"/>
      <c r="H445" s="41">
        <f>IF(A445="","",DATE(YEAR(A445),MONTH(A445),1))</f>
        <v/>
      </c>
      <c r="I445" s="46" t="n"/>
    </row>
    <row r="446" ht="14.25" customHeight="1" s="63">
      <c r="A446" s="48" t="n"/>
      <c r="B446" s="48" t="n"/>
      <c r="C446" s="46" t="n"/>
      <c r="D446" s="46" t="n"/>
      <c r="E446" s="46" t="n"/>
      <c r="F446" s="49" t="n"/>
      <c r="G446" s="46" t="n"/>
      <c r="H446" s="41">
        <f>IF(A446="","",DATE(YEAR(A446),MONTH(A446),1))</f>
        <v/>
      </c>
      <c r="I446" s="46" t="n"/>
    </row>
    <row r="447" ht="14.25" customHeight="1" s="63">
      <c r="A447" s="48" t="n"/>
      <c r="B447" s="48" t="n"/>
      <c r="C447" s="46" t="n"/>
      <c r="D447" s="46" t="n"/>
      <c r="E447" s="46" t="n"/>
      <c r="F447" s="49" t="n"/>
      <c r="G447" s="46" t="n"/>
      <c r="H447" s="41">
        <f>IF(A447="","",DATE(YEAR(A447),MONTH(A447),1))</f>
        <v/>
      </c>
      <c r="I447" s="46" t="n"/>
    </row>
    <row r="448" ht="14.25" customHeight="1" s="63">
      <c r="A448" s="48" t="n"/>
      <c r="B448" s="48" t="n"/>
      <c r="C448" s="46" t="n"/>
      <c r="D448" s="46" t="n"/>
      <c r="E448" s="46" t="n"/>
      <c r="F448" s="49" t="n"/>
      <c r="G448" s="46" t="n"/>
      <c r="H448" s="41">
        <f>IF(A448="","",DATE(YEAR(A448),MONTH(A448),1))</f>
        <v/>
      </c>
      <c r="I448" s="46" t="n"/>
    </row>
    <row r="449" ht="14.25" customHeight="1" s="63">
      <c r="A449" s="48" t="n"/>
      <c r="B449" s="48" t="n"/>
      <c r="C449" s="46" t="n"/>
      <c r="D449" s="46" t="n"/>
      <c r="E449" s="46" t="n"/>
      <c r="F449" s="49" t="n"/>
      <c r="G449" s="46" t="n"/>
      <c r="H449" s="41">
        <f>IF(A449="","",DATE(YEAR(A449),MONTH(A449),1))</f>
        <v/>
      </c>
      <c r="I449" s="46" t="n"/>
    </row>
    <row r="450" ht="14.25" customHeight="1" s="63">
      <c r="A450" s="48" t="n"/>
      <c r="B450" s="48" t="n"/>
      <c r="C450" s="46" t="n"/>
      <c r="D450" s="46" t="n"/>
      <c r="E450" s="46" t="n"/>
      <c r="F450" s="49" t="n"/>
      <c r="G450" s="46" t="n"/>
      <c r="H450" s="41">
        <f>IF(A450="","",DATE(YEAR(A450),MONTH(A450),1))</f>
        <v/>
      </c>
      <c r="I450" s="46" t="n"/>
    </row>
    <row r="451" ht="14.25" customHeight="1" s="63">
      <c r="A451" s="48" t="n"/>
      <c r="B451" s="48" t="n"/>
      <c r="C451" s="46" t="n"/>
      <c r="D451" s="46" t="n"/>
      <c r="E451" s="46" t="n"/>
      <c r="F451" s="49" t="n"/>
      <c r="G451" s="46" t="n"/>
      <c r="H451" s="41">
        <f>IF(A451="","",DATE(YEAR(A451),MONTH(A451),1))</f>
        <v/>
      </c>
      <c r="I451" s="46" t="n"/>
    </row>
    <row r="452" ht="14.25" customHeight="1" s="63">
      <c r="A452" s="48" t="n"/>
      <c r="B452" s="48" t="n"/>
      <c r="C452" s="46" t="n"/>
      <c r="D452" s="46" t="n"/>
      <c r="E452" s="46" t="n"/>
      <c r="F452" s="49" t="n"/>
      <c r="G452" s="46" t="n"/>
      <c r="H452" s="41">
        <f>IF(A452="","",DATE(YEAR(A452),MONTH(A452),1))</f>
        <v/>
      </c>
      <c r="I452" s="46" t="n"/>
    </row>
    <row r="453" ht="14.25" customHeight="1" s="63">
      <c r="A453" s="48" t="n"/>
      <c r="B453" s="48" t="n"/>
      <c r="C453" s="46" t="n"/>
      <c r="D453" s="46" t="n"/>
      <c r="E453" s="46" t="n"/>
      <c r="F453" s="49" t="n"/>
      <c r="G453" s="46" t="n"/>
      <c r="H453" s="41">
        <f>IF(A453="","",DATE(YEAR(A453),MONTH(A453),1))</f>
        <v/>
      </c>
      <c r="I453" s="46" t="n"/>
    </row>
    <row r="454" ht="14.25" customHeight="1" s="63">
      <c r="A454" s="48" t="n"/>
      <c r="B454" s="48" t="n"/>
      <c r="C454" s="46" t="n"/>
      <c r="D454" s="46" t="n"/>
      <c r="E454" s="46" t="n"/>
      <c r="F454" s="49" t="n"/>
      <c r="G454" s="46" t="n"/>
      <c r="H454" s="41">
        <f>IF(A454="","",DATE(YEAR(A454),MONTH(A454),1))</f>
        <v/>
      </c>
      <c r="I454" s="46" t="n"/>
    </row>
    <row r="455" ht="14.25" customHeight="1" s="63">
      <c r="A455" s="48" t="n"/>
      <c r="B455" s="48" t="n"/>
      <c r="C455" s="46" t="n"/>
      <c r="D455" s="46" t="n"/>
      <c r="E455" s="46" t="n"/>
      <c r="F455" s="49" t="n"/>
      <c r="G455" s="46" t="n"/>
      <c r="H455" s="41">
        <f>IF(A455="","",DATE(YEAR(A455),MONTH(A455),1))</f>
        <v/>
      </c>
      <c r="I455" s="46" t="n"/>
    </row>
    <row r="456" ht="14.25" customHeight="1" s="63">
      <c r="A456" s="48" t="n"/>
      <c r="B456" s="48" t="n"/>
      <c r="C456" s="46" t="n"/>
      <c r="D456" s="46" t="n"/>
      <c r="E456" s="46" t="n"/>
      <c r="F456" s="49" t="n"/>
      <c r="G456" s="46" t="n"/>
      <c r="H456" s="41">
        <f>IF(A456="","",DATE(YEAR(A456),MONTH(A456),1))</f>
        <v/>
      </c>
      <c r="I456" s="46" t="n"/>
    </row>
    <row r="457" ht="14.25" customHeight="1" s="63">
      <c r="A457" s="48" t="n"/>
      <c r="B457" s="48" t="n"/>
      <c r="C457" s="46" t="n"/>
      <c r="D457" s="46" t="n"/>
      <c r="E457" s="46" t="n"/>
      <c r="F457" s="49" t="n"/>
      <c r="G457" s="46" t="n"/>
      <c r="H457" s="41">
        <f>IF(A457="","",DATE(YEAR(A457),MONTH(A457),1))</f>
        <v/>
      </c>
      <c r="I457" s="46" t="n"/>
    </row>
    <row r="458" ht="14.25" customHeight="1" s="63">
      <c r="A458" s="48" t="n"/>
      <c r="B458" s="48" t="n"/>
      <c r="C458" s="46" t="n"/>
      <c r="D458" s="46" t="n"/>
      <c r="E458" s="46" t="n"/>
      <c r="F458" s="49" t="n"/>
      <c r="G458" s="46" t="n"/>
      <c r="H458" s="41">
        <f>IF(A458="","",DATE(YEAR(A458),MONTH(A458),1))</f>
        <v/>
      </c>
      <c r="I458" s="46" t="n"/>
    </row>
    <row r="459" ht="14.25" customHeight="1" s="63">
      <c r="A459" s="48" t="n"/>
      <c r="B459" s="48" t="n"/>
      <c r="C459" s="46" t="n"/>
      <c r="D459" s="46" t="n"/>
      <c r="E459" s="46" t="n"/>
      <c r="F459" s="49" t="n"/>
      <c r="G459" s="46" t="n"/>
      <c r="H459" s="41">
        <f>IF(A459="","",DATE(YEAR(A459),MONTH(A459),1))</f>
        <v/>
      </c>
      <c r="I459" s="46" t="n"/>
    </row>
    <row r="460" ht="14.25" customHeight="1" s="63">
      <c r="A460" s="48" t="n"/>
      <c r="B460" s="48" t="n"/>
      <c r="C460" s="46" t="n"/>
      <c r="D460" s="46" t="n"/>
      <c r="E460" s="46" t="n"/>
      <c r="F460" s="49" t="n"/>
      <c r="G460" s="46" t="n"/>
      <c r="H460" s="41">
        <f>IF(A460="","",DATE(YEAR(A460),MONTH(A460),1))</f>
        <v/>
      </c>
      <c r="I460" s="46" t="n"/>
    </row>
    <row r="461" ht="14.25" customHeight="1" s="63">
      <c r="A461" s="48" t="n"/>
      <c r="B461" s="48" t="n"/>
      <c r="C461" s="46" t="n"/>
      <c r="D461" s="46" t="n"/>
      <c r="E461" s="46" t="n"/>
      <c r="F461" s="49" t="n"/>
      <c r="G461" s="46" t="n"/>
      <c r="H461" s="41">
        <f>IF(A461="","",DATE(YEAR(A461),MONTH(A461),1))</f>
        <v/>
      </c>
      <c r="I461" s="46" t="n"/>
    </row>
    <row r="462" ht="14.25" customHeight="1" s="63">
      <c r="A462" s="48" t="n"/>
      <c r="B462" s="48" t="n"/>
      <c r="C462" s="46" t="n"/>
      <c r="D462" s="46" t="n"/>
      <c r="E462" s="46" t="n"/>
      <c r="F462" s="49" t="n"/>
      <c r="G462" s="46" t="n"/>
      <c r="H462" s="41">
        <f>IF(A462="","",DATE(YEAR(A462),MONTH(A462),1))</f>
        <v/>
      </c>
      <c r="I462" s="46" t="n"/>
    </row>
    <row r="463" ht="14.25" customHeight="1" s="63">
      <c r="A463" s="48" t="n"/>
      <c r="B463" s="48" t="n"/>
      <c r="C463" s="46" t="n"/>
      <c r="D463" s="46" t="n"/>
      <c r="E463" s="46" t="n"/>
      <c r="F463" s="49" t="n"/>
      <c r="G463" s="46" t="n"/>
      <c r="H463" s="41">
        <f>IF(A463="","",DATE(YEAR(A463),MONTH(A463),1))</f>
        <v/>
      </c>
      <c r="I463" s="46" t="n"/>
    </row>
    <row r="464" ht="14.25" customHeight="1" s="63">
      <c r="A464" s="48" t="n"/>
      <c r="B464" s="48" t="n"/>
      <c r="C464" s="46" t="n"/>
      <c r="D464" s="46" t="n"/>
      <c r="E464" s="46" t="n"/>
      <c r="F464" s="49" t="n"/>
      <c r="G464" s="46" t="n"/>
      <c r="H464" s="41">
        <f>IF(A464="","",DATE(YEAR(A464),MONTH(A464),1))</f>
        <v/>
      </c>
      <c r="I464" s="46" t="n"/>
    </row>
    <row r="465" ht="14.25" customHeight="1" s="63">
      <c r="A465" s="48" t="n"/>
      <c r="B465" s="48" t="n"/>
      <c r="C465" s="46" t="n"/>
      <c r="D465" s="46" t="n"/>
      <c r="E465" s="46" t="n"/>
      <c r="F465" s="49" t="n"/>
      <c r="G465" s="46" t="n"/>
      <c r="H465" s="41">
        <f>IF(A465="","",DATE(YEAR(A465),MONTH(A465),1))</f>
        <v/>
      </c>
      <c r="I465" s="46" t="n"/>
    </row>
    <row r="466" ht="14.25" customHeight="1" s="63">
      <c r="A466" s="48" t="n"/>
      <c r="B466" s="48" t="n"/>
      <c r="C466" s="46" t="n"/>
      <c r="D466" s="46" t="n"/>
      <c r="E466" s="46" t="n"/>
      <c r="F466" s="49" t="n"/>
      <c r="G466" s="46" t="n"/>
      <c r="H466" s="41">
        <f>IF(A466="","",DATE(YEAR(A466),MONTH(A466),1))</f>
        <v/>
      </c>
      <c r="I466" s="46" t="n"/>
    </row>
    <row r="467" ht="14.25" customHeight="1" s="63">
      <c r="A467" s="48" t="n"/>
      <c r="B467" s="48" t="n"/>
      <c r="C467" s="46" t="n"/>
      <c r="D467" s="46" t="n"/>
      <c r="E467" s="46" t="n"/>
      <c r="F467" s="49" t="n"/>
      <c r="G467" s="46" t="n"/>
      <c r="H467" s="41">
        <f>IF(A467="","",DATE(YEAR(A467),MONTH(A467),1))</f>
        <v/>
      </c>
      <c r="I467" s="46" t="n"/>
    </row>
    <row r="468" ht="14.25" customHeight="1" s="63">
      <c r="A468" s="48" t="n"/>
      <c r="B468" s="48" t="n"/>
      <c r="C468" s="46" t="n"/>
      <c r="D468" s="46" t="n"/>
      <c r="E468" s="46" t="n"/>
      <c r="F468" s="49" t="n"/>
      <c r="G468" s="46" t="n"/>
      <c r="H468" s="41">
        <f>IF(A468="","",DATE(YEAR(A468),MONTH(A468),1))</f>
        <v/>
      </c>
      <c r="I468" s="46" t="n"/>
    </row>
    <row r="469" ht="14.25" customHeight="1" s="63">
      <c r="A469" s="48" t="n"/>
      <c r="B469" s="48" t="n"/>
      <c r="C469" s="46" t="n"/>
      <c r="D469" s="46" t="n"/>
      <c r="E469" s="46" t="n"/>
      <c r="F469" s="49" t="n"/>
      <c r="G469" s="46" t="n"/>
      <c r="H469" s="41">
        <f>IF(A469="","",DATE(YEAR(A469),MONTH(A469),1))</f>
        <v/>
      </c>
      <c r="I469" s="46" t="n"/>
    </row>
    <row r="470" ht="14.25" customHeight="1" s="63">
      <c r="A470" s="48" t="n"/>
      <c r="B470" s="48" t="n"/>
      <c r="C470" s="46" t="n"/>
      <c r="D470" s="46" t="n"/>
      <c r="E470" s="46" t="n"/>
      <c r="F470" s="49" t="n"/>
      <c r="G470" s="46" t="n"/>
      <c r="H470" s="41">
        <f>IF(A470="","",DATE(YEAR(A470),MONTH(A470),1))</f>
        <v/>
      </c>
      <c r="I470" s="46" t="n"/>
    </row>
    <row r="471" ht="14.25" customHeight="1" s="63">
      <c r="A471" s="48" t="n"/>
      <c r="B471" s="48" t="n"/>
      <c r="C471" s="46" t="n"/>
      <c r="D471" s="46" t="n"/>
      <c r="E471" s="46" t="n"/>
      <c r="F471" s="49" t="n"/>
      <c r="G471" s="46" t="n"/>
      <c r="H471" s="41">
        <f>IF(A471="","",DATE(YEAR(A471),MONTH(A471),1))</f>
        <v/>
      </c>
      <c r="I471" s="46" t="n"/>
    </row>
    <row r="472" ht="14.25" customHeight="1" s="63">
      <c r="A472" s="48" t="n"/>
      <c r="B472" s="48" t="n"/>
      <c r="C472" s="46" t="n"/>
      <c r="D472" s="46" t="n"/>
      <c r="E472" s="46" t="n"/>
      <c r="F472" s="49" t="n"/>
      <c r="G472" s="46" t="n"/>
      <c r="H472" s="41">
        <f>IF(A472="","",DATE(YEAR(A472),MONTH(A472),1))</f>
        <v/>
      </c>
      <c r="I472" s="46" t="n"/>
    </row>
    <row r="473" ht="14.25" customHeight="1" s="63">
      <c r="A473" s="48" t="n"/>
      <c r="B473" s="48" t="n"/>
      <c r="C473" s="46" t="n"/>
      <c r="D473" s="46" t="n"/>
      <c r="E473" s="46" t="n"/>
      <c r="F473" s="49" t="n"/>
      <c r="G473" s="46" t="n"/>
      <c r="H473" s="41">
        <f>IF(A473="","",DATE(YEAR(A473),MONTH(A473),1))</f>
        <v/>
      </c>
      <c r="I473" s="46" t="n"/>
    </row>
    <row r="474" ht="14.25" customHeight="1" s="63">
      <c r="A474" s="48" t="n"/>
      <c r="B474" s="48" t="n"/>
      <c r="C474" s="46" t="n"/>
      <c r="D474" s="46" t="n"/>
      <c r="E474" s="46" t="n"/>
      <c r="F474" s="49" t="n"/>
      <c r="G474" s="46" t="n"/>
      <c r="H474" s="41">
        <f>IF(A474="","",DATE(YEAR(A474),MONTH(A474),1))</f>
        <v/>
      </c>
      <c r="I474" s="46" t="n"/>
    </row>
    <row r="475" ht="14.25" customHeight="1" s="63">
      <c r="A475" s="48" t="n"/>
      <c r="B475" s="48" t="n"/>
      <c r="C475" s="46" t="n"/>
      <c r="D475" s="46" t="n"/>
      <c r="E475" s="46" t="n"/>
      <c r="F475" s="49" t="n"/>
      <c r="G475" s="46" t="n"/>
      <c r="H475" s="41">
        <f>IF(A475="","",DATE(YEAR(A475),MONTH(A475),1))</f>
        <v/>
      </c>
      <c r="I475" s="46" t="n"/>
    </row>
    <row r="476" ht="14.25" customHeight="1" s="63">
      <c r="A476" s="48" t="n"/>
      <c r="B476" s="48" t="n"/>
      <c r="C476" s="46" t="n"/>
      <c r="D476" s="46" t="n"/>
      <c r="E476" s="46" t="n"/>
      <c r="F476" s="49" t="n"/>
      <c r="G476" s="46" t="n"/>
      <c r="H476" s="41">
        <f>IF(A476="","",DATE(YEAR(A476),MONTH(A476),1))</f>
        <v/>
      </c>
      <c r="I476" s="46" t="n"/>
    </row>
    <row r="477" ht="14.25" customHeight="1" s="63">
      <c r="A477" s="48" t="n"/>
      <c r="B477" s="48" t="n"/>
      <c r="C477" s="46" t="n"/>
      <c r="D477" s="46" t="n"/>
      <c r="E477" s="46" t="n"/>
      <c r="F477" s="49" t="n"/>
      <c r="G477" s="46" t="n"/>
      <c r="H477" s="41">
        <f>IF(A477="","",DATE(YEAR(A477),MONTH(A477),1))</f>
        <v/>
      </c>
      <c r="I477" s="46" t="n"/>
    </row>
    <row r="478" ht="14.25" customHeight="1" s="63">
      <c r="A478" s="48" t="n"/>
      <c r="B478" s="48" t="n"/>
      <c r="C478" s="46" t="n"/>
      <c r="D478" s="46" t="n"/>
      <c r="E478" s="46" t="n"/>
      <c r="F478" s="49" t="n"/>
      <c r="G478" s="46" t="n"/>
      <c r="H478" s="41">
        <f>IF(A478="","",DATE(YEAR(A478),MONTH(A478),1))</f>
        <v/>
      </c>
      <c r="I478" s="46" t="n"/>
    </row>
    <row r="479" ht="14.25" customHeight="1" s="63">
      <c r="A479" s="48" t="n"/>
      <c r="B479" s="48" t="n"/>
      <c r="C479" s="46" t="n"/>
      <c r="D479" s="46" t="n"/>
      <c r="E479" s="46" t="n"/>
      <c r="F479" s="49" t="n"/>
      <c r="G479" s="46" t="n"/>
      <c r="H479" s="41">
        <f>IF(A479="","",DATE(YEAR(A479),MONTH(A479),1))</f>
        <v/>
      </c>
      <c r="I479" s="46" t="n"/>
    </row>
    <row r="480" ht="14.25" customHeight="1" s="63">
      <c r="A480" s="48" t="n"/>
      <c r="B480" s="48" t="n"/>
      <c r="C480" s="46" t="n"/>
      <c r="D480" s="46" t="n"/>
      <c r="E480" s="46" t="n"/>
      <c r="F480" s="49" t="n"/>
      <c r="G480" s="46" t="n"/>
      <c r="H480" s="41">
        <f>IF(A480="","",DATE(YEAR(A480),MONTH(A480),1))</f>
        <v/>
      </c>
      <c r="I480" s="46" t="n"/>
    </row>
    <row r="481" ht="14.25" customHeight="1" s="63">
      <c r="A481" s="48" t="n"/>
      <c r="B481" s="48" t="n"/>
      <c r="C481" s="46" t="n"/>
      <c r="D481" s="46" t="n"/>
      <c r="E481" s="46" t="n"/>
      <c r="F481" s="49" t="n"/>
      <c r="G481" s="46" t="n"/>
      <c r="H481" s="41">
        <f>IF(A481="","",DATE(YEAR(A481),MONTH(A481),1))</f>
        <v/>
      </c>
      <c r="I481" s="46" t="n"/>
    </row>
    <row r="482" ht="14.25" customHeight="1" s="63">
      <c r="A482" s="48" t="n"/>
      <c r="B482" s="48" t="n"/>
      <c r="C482" s="46" t="n"/>
      <c r="D482" s="46" t="n"/>
      <c r="E482" s="46" t="n"/>
      <c r="F482" s="49" t="n"/>
      <c r="G482" s="46" t="n"/>
      <c r="H482" s="41">
        <f>IF(A482="","",DATE(YEAR(A482),MONTH(A482),1))</f>
        <v/>
      </c>
      <c r="I482" s="46" t="n"/>
    </row>
    <row r="483" ht="14.25" customHeight="1" s="63">
      <c r="A483" s="48" t="n"/>
      <c r="B483" s="48" t="n"/>
      <c r="C483" s="46" t="n"/>
      <c r="D483" s="46" t="n"/>
      <c r="E483" s="46" t="n"/>
      <c r="F483" s="49" t="n"/>
      <c r="G483" s="46" t="n"/>
      <c r="H483" s="41">
        <f>IF(A483="","",DATE(YEAR(A483),MONTH(A483),1))</f>
        <v/>
      </c>
      <c r="I483" s="46" t="n"/>
    </row>
    <row r="484" ht="14.25" customHeight="1" s="63">
      <c r="A484" s="48" t="n"/>
      <c r="B484" s="48" t="n"/>
      <c r="C484" s="46" t="n"/>
      <c r="D484" s="46" t="n"/>
      <c r="E484" s="46" t="n"/>
      <c r="F484" s="49" t="n"/>
      <c r="G484" s="46" t="n"/>
      <c r="H484" s="41">
        <f>IF(A484="","",DATE(YEAR(A484),MONTH(A484),1))</f>
        <v/>
      </c>
      <c r="I484" s="46" t="n"/>
    </row>
    <row r="485" ht="14.25" customHeight="1" s="63">
      <c r="A485" s="48" t="n"/>
      <c r="B485" s="48" t="n"/>
      <c r="C485" s="46" t="n"/>
      <c r="D485" s="46" t="n"/>
      <c r="E485" s="46" t="n"/>
      <c r="F485" s="49" t="n"/>
      <c r="G485" s="46" t="n"/>
      <c r="H485" s="41">
        <f>IF(A485="","",DATE(YEAR(A485),MONTH(A485),1))</f>
        <v/>
      </c>
      <c r="I485" s="46" t="n"/>
    </row>
    <row r="486" ht="14.25" customHeight="1" s="63">
      <c r="A486" s="48" t="n"/>
      <c r="B486" s="48" t="n"/>
      <c r="C486" s="46" t="n"/>
      <c r="D486" s="46" t="n"/>
      <c r="E486" s="46" t="n"/>
      <c r="F486" s="49" t="n"/>
      <c r="G486" s="46" t="n"/>
      <c r="H486" s="41">
        <f>IF(A486="","",DATE(YEAR(A486),MONTH(A486),1))</f>
        <v/>
      </c>
      <c r="I486" s="46" t="n"/>
    </row>
    <row r="487" ht="14.25" customHeight="1" s="63">
      <c r="A487" s="48" t="n"/>
      <c r="B487" s="48" t="n"/>
      <c r="C487" s="46" t="n"/>
      <c r="D487" s="46" t="n"/>
      <c r="E487" s="46" t="n"/>
      <c r="F487" s="49" t="n"/>
      <c r="G487" s="46" t="n"/>
      <c r="H487" s="41">
        <f>IF(A487="","",DATE(YEAR(A487),MONTH(A487),1))</f>
        <v/>
      </c>
      <c r="I487" s="46" t="n"/>
    </row>
    <row r="488" ht="14.25" customHeight="1" s="63">
      <c r="A488" s="48" t="n"/>
      <c r="B488" s="48" t="n"/>
      <c r="C488" s="46" t="n"/>
      <c r="D488" s="46" t="n"/>
      <c r="E488" s="46" t="n"/>
      <c r="F488" s="49" t="n"/>
      <c r="G488" s="46" t="n"/>
      <c r="H488" s="41">
        <f>IF(A488="","",DATE(YEAR(A488),MONTH(A488),1))</f>
        <v/>
      </c>
      <c r="I488" s="46" t="n"/>
    </row>
    <row r="489" ht="14.25" customHeight="1" s="63">
      <c r="A489" s="48" t="n"/>
      <c r="B489" s="48" t="n"/>
      <c r="C489" s="46" t="n"/>
      <c r="D489" s="46" t="n"/>
      <c r="E489" s="46" t="n"/>
      <c r="F489" s="49" t="n"/>
      <c r="G489" s="46" t="n"/>
      <c r="H489" s="41">
        <f>IF(A489="","",DATE(YEAR(A489),MONTH(A489),1))</f>
        <v/>
      </c>
      <c r="I489" s="46" t="n"/>
    </row>
    <row r="490" ht="14.25" customHeight="1" s="63">
      <c r="A490" s="48" t="n"/>
      <c r="B490" s="48" t="n"/>
      <c r="C490" s="46" t="n"/>
      <c r="D490" s="46" t="n"/>
      <c r="E490" s="46" t="n"/>
      <c r="F490" s="49" t="n"/>
      <c r="G490" s="46" t="n"/>
      <c r="H490" s="41">
        <f>IF(A490="","",DATE(YEAR(A490),MONTH(A490),1))</f>
        <v/>
      </c>
      <c r="I490" s="46" t="n"/>
    </row>
    <row r="491" ht="14.25" customHeight="1" s="63">
      <c r="A491" s="48" t="n"/>
      <c r="B491" s="48" t="n"/>
      <c r="C491" s="46" t="n"/>
      <c r="D491" s="46" t="n"/>
      <c r="E491" s="46" t="n"/>
      <c r="F491" s="49" t="n"/>
      <c r="G491" s="46" t="n"/>
      <c r="H491" s="41">
        <f>IF(A491="","",DATE(YEAR(A491),MONTH(A491),1))</f>
        <v/>
      </c>
      <c r="I491" s="46" t="n"/>
    </row>
    <row r="492" ht="14.25" customHeight="1" s="63">
      <c r="A492" s="48" t="n"/>
      <c r="B492" s="48" t="n"/>
      <c r="C492" s="46" t="n"/>
      <c r="D492" s="46" t="n"/>
      <c r="E492" s="46" t="n"/>
      <c r="F492" s="49" t="n"/>
      <c r="G492" s="46" t="n"/>
      <c r="H492" s="41">
        <f>IF(A492="","",DATE(YEAR(A492),MONTH(A492),1))</f>
        <v/>
      </c>
      <c r="I492" s="46" t="n"/>
    </row>
    <row r="493" ht="14.25" customHeight="1" s="63">
      <c r="A493" s="48" t="n"/>
      <c r="B493" s="48" t="n"/>
      <c r="C493" s="46" t="n"/>
      <c r="D493" s="46" t="n"/>
      <c r="E493" s="46" t="n"/>
      <c r="F493" s="49" t="n"/>
      <c r="G493" s="46" t="n"/>
      <c r="H493" s="41">
        <f>IF(A493="","",DATE(YEAR(A493),MONTH(A493),1))</f>
        <v/>
      </c>
      <c r="I493" s="46" t="n"/>
    </row>
    <row r="494" ht="14.25" customHeight="1" s="63">
      <c r="A494" s="48" t="n"/>
      <c r="B494" s="48" t="n"/>
      <c r="C494" s="46" t="n"/>
      <c r="D494" s="46" t="n"/>
      <c r="E494" s="46" t="n"/>
      <c r="F494" s="49" t="n"/>
      <c r="G494" s="46" t="n"/>
      <c r="H494" s="41">
        <f>IF(A494="","",DATE(YEAR(A494),MONTH(A494),1))</f>
        <v/>
      </c>
      <c r="I494" s="46" t="n"/>
    </row>
    <row r="495" ht="14.25" customHeight="1" s="63">
      <c r="A495" s="48" t="n"/>
      <c r="B495" s="48" t="n"/>
      <c r="C495" s="46" t="n"/>
      <c r="D495" s="46" t="n"/>
      <c r="E495" s="46" t="n"/>
      <c r="F495" s="49" t="n"/>
      <c r="G495" s="46" t="n"/>
      <c r="H495" s="41">
        <f>IF(A495="","",DATE(YEAR(A495),MONTH(A495),1))</f>
        <v/>
      </c>
      <c r="I495" s="46" t="n"/>
    </row>
    <row r="496" ht="14.25" customHeight="1" s="63">
      <c r="A496" s="48" t="n"/>
      <c r="B496" s="48" t="n"/>
      <c r="C496" s="46" t="n"/>
      <c r="D496" s="46" t="n"/>
      <c r="E496" s="46" t="n"/>
      <c r="F496" s="49" t="n"/>
      <c r="G496" s="46" t="n"/>
      <c r="H496" s="41">
        <f>IF(A496="","",DATE(YEAR(A496),MONTH(A496),1))</f>
        <v/>
      </c>
      <c r="I496" s="46" t="n"/>
    </row>
    <row r="497" ht="14.25" customHeight="1" s="63">
      <c r="A497" s="48" t="n"/>
      <c r="B497" s="48" t="n"/>
      <c r="C497" s="46" t="n"/>
      <c r="D497" s="46" t="n"/>
      <c r="E497" s="46" t="n"/>
      <c r="F497" s="49" t="n"/>
      <c r="G497" s="46" t="n"/>
      <c r="H497" s="41">
        <f>IF(A497="","",DATE(YEAR(A497),MONTH(A497),1))</f>
        <v/>
      </c>
      <c r="I497" s="46" t="n"/>
    </row>
    <row r="498" ht="14.25" customHeight="1" s="63">
      <c r="A498" s="48" t="n"/>
      <c r="B498" s="48" t="n"/>
      <c r="C498" s="46" t="n"/>
      <c r="D498" s="46" t="n"/>
      <c r="E498" s="46" t="n"/>
      <c r="F498" s="49" t="n"/>
      <c r="G498" s="46" t="n"/>
      <c r="H498" s="41">
        <f>IF(A498="","",DATE(YEAR(A498),MONTH(A498),1))</f>
        <v/>
      </c>
      <c r="I498" s="46" t="n"/>
    </row>
    <row r="499" ht="14.25" customHeight="1" s="63">
      <c r="A499" s="48" t="n"/>
      <c r="B499" s="48" t="n"/>
      <c r="C499" s="46" t="n"/>
      <c r="D499" s="46" t="n"/>
      <c r="E499" s="46" t="n"/>
      <c r="F499" s="49" t="n"/>
      <c r="G499" s="46" t="n"/>
      <c r="H499" s="41">
        <f>IF(A499="","",DATE(YEAR(A499),MONTH(A499),1))</f>
        <v/>
      </c>
      <c r="I499" s="46" t="n"/>
    </row>
    <row r="500" ht="14.25" customHeight="1" s="63"/>
    <row r="501" ht="14.25" customHeight="1" s="63"/>
    <row r="502" ht="14.25" customHeight="1" s="63"/>
    <row r="503" ht="14.25" customHeight="1" s="63"/>
    <row r="504" ht="14.25" customHeight="1" s="63"/>
    <row r="505" ht="14.25" customHeight="1" s="63"/>
    <row r="506" ht="14.25" customHeight="1" s="63"/>
    <row r="507" ht="14.25" customHeight="1" s="63"/>
    <row r="508" ht="14.25" customHeight="1" s="63"/>
    <row r="509" ht="14.25" customHeight="1" s="63"/>
    <row r="510" ht="14.25" customHeight="1" s="63"/>
    <row r="511" ht="14.25" customHeight="1" s="63"/>
    <row r="512" ht="14.25" customHeight="1" s="63"/>
    <row r="513" ht="14.25" customHeight="1" s="63"/>
    <row r="514" ht="14.25" customHeight="1" s="63"/>
    <row r="515" ht="14.25" customHeight="1" s="63"/>
    <row r="516" ht="14.25" customHeight="1" s="63"/>
    <row r="517" ht="14.25" customHeight="1" s="63"/>
    <row r="518" ht="14.25" customHeight="1" s="63"/>
    <row r="519" ht="14.25" customHeight="1" s="63"/>
    <row r="520" ht="14.25" customHeight="1" s="63"/>
    <row r="521" ht="14.25" customHeight="1" s="63"/>
    <row r="522" ht="14.25" customHeight="1" s="63"/>
    <row r="523" ht="14.25" customHeight="1" s="63"/>
    <row r="524" ht="14.25" customHeight="1" s="63"/>
    <row r="525" ht="14.25" customHeight="1" s="63"/>
    <row r="526" ht="14.25" customHeight="1" s="63"/>
    <row r="527" ht="14.25" customHeight="1" s="63"/>
    <row r="528" ht="14.25" customHeight="1" s="63"/>
    <row r="529" ht="14.25" customHeight="1" s="63"/>
    <row r="530" ht="14.25" customHeight="1" s="63"/>
    <row r="531" ht="14.25" customHeight="1" s="63"/>
    <row r="532" ht="14.25" customHeight="1" s="63"/>
    <row r="533" ht="14.25" customHeight="1" s="63"/>
    <row r="534" ht="14.25" customHeight="1" s="63"/>
    <row r="535" ht="14.25" customHeight="1" s="63"/>
    <row r="536" ht="14.25" customHeight="1" s="63"/>
    <row r="537" ht="14.25" customHeight="1" s="63"/>
    <row r="538" ht="14.25" customHeight="1" s="63"/>
    <row r="539" ht="14.25" customHeight="1" s="63"/>
    <row r="540" ht="14.25" customHeight="1" s="63"/>
    <row r="541" ht="14.25" customHeight="1" s="63"/>
    <row r="542" ht="14.25" customHeight="1" s="63"/>
    <row r="543" ht="14.25" customHeight="1" s="63"/>
    <row r="544" ht="14.25" customHeight="1" s="63"/>
    <row r="545" ht="14.25" customHeight="1" s="63"/>
    <row r="546" ht="14.25" customHeight="1" s="63"/>
    <row r="547" ht="14.25" customHeight="1" s="63"/>
    <row r="548" ht="14.25" customHeight="1" s="63"/>
    <row r="549" ht="14.25" customHeight="1" s="63"/>
    <row r="550" ht="14.25" customHeight="1" s="63"/>
    <row r="551" ht="14.25" customHeight="1" s="63"/>
    <row r="552" ht="14.25" customHeight="1" s="63"/>
    <row r="553" ht="14.25" customHeight="1" s="63"/>
    <row r="554" ht="14.25" customHeight="1" s="63"/>
    <row r="555" ht="14.25" customHeight="1" s="63"/>
    <row r="556" ht="14.25" customHeight="1" s="63"/>
    <row r="557" ht="14.25" customHeight="1" s="63"/>
    <row r="558" ht="14.25" customHeight="1" s="63"/>
    <row r="559" ht="14.25" customHeight="1" s="63"/>
    <row r="560" ht="14.25" customHeight="1" s="63"/>
    <row r="561" ht="14.25" customHeight="1" s="63"/>
    <row r="562" ht="14.25" customHeight="1" s="63"/>
    <row r="563" ht="14.25" customHeight="1" s="63"/>
    <row r="564" ht="14.25" customHeight="1" s="63"/>
    <row r="565" ht="14.25" customHeight="1" s="63"/>
    <row r="566" ht="14.25" customHeight="1" s="63"/>
    <row r="567" ht="14.25" customHeight="1" s="63"/>
    <row r="568" ht="14.25" customHeight="1" s="63"/>
    <row r="569" ht="14.25" customHeight="1" s="63"/>
    <row r="570" ht="14.25" customHeight="1" s="63"/>
    <row r="571" ht="14.25" customHeight="1" s="63"/>
    <row r="572" ht="14.25" customHeight="1" s="63"/>
    <row r="573" ht="14.25" customHeight="1" s="63"/>
    <row r="574" ht="14.25" customHeight="1" s="63"/>
    <row r="575" ht="14.25" customHeight="1" s="63"/>
    <row r="576" ht="14.25" customHeight="1" s="63"/>
    <row r="577" ht="14.25" customHeight="1" s="63"/>
    <row r="578" ht="14.25" customHeight="1" s="63"/>
    <row r="579" ht="14.25" customHeight="1" s="63"/>
    <row r="580" ht="14.25" customHeight="1" s="63"/>
    <row r="581" ht="14.25" customHeight="1" s="63"/>
    <row r="582" ht="14.25" customHeight="1" s="63"/>
    <row r="583" ht="14.25" customHeight="1" s="63"/>
    <row r="584" ht="14.25" customHeight="1" s="63"/>
    <row r="585" ht="14.25" customHeight="1" s="63"/>
    <row r="586" ht="14.25" customHeight="1" s="63"/>
    <row r="587" ht="14.25" customHeight="1" s="63"/>
    <row r="588" ht="14.25" customHeight="1" s="63"/>
    <row r="589" ht="14.25" customHeight="1" s="63"/>
    <row r="590" ht="14.25" customHeight="1" s="63"/>
    <row r="591" ht="14.25" customHeight="1" s="63"/>
    <row r="592" ht="14.25" customHeight="1" s="63"/>
    <row r="593" ht="14.25" customHeight="1" s="63"/>
    <row r="594" ht="14.25" customHeight="1" s="63"/>
    <row r="595" ht="14.25" customHeight="1" s="63"/>
    <row r="596" ht="14.25" customHeight="1" s="63"/>
    <row r="597" ht="14.25" customHeight="1" s="63"/>
    <row r="598" ht="14.25" customHeight="1" s="63"/>
    <row r="599" ht="14.25" customHeight="1" s="63"/>
    <row r="600" ht="14.25" customHeight="1" s="63"/>
    <row r="601" ht="14.25" customHeight="1" s="63"/>
    <row r="602" ht="14.25" customHeight="1" s="63"/>
    <row r="603" ht="14.25" customHeight="1" s="63"/>
    <row r="604" ht="14.25" customHeight="1" s="63"/>
    <row r="605" ht="14.25" customHeight="1" s="63"/>
    <row r="606" ht="14.25" customHeight="1" s="63"/>
    <row r="607" ht="14.25" customHeight="1" s="63"/>
    <row r="608" ht="14.25" customHeight="1" s="63"/>
    <row r="609" ht="14.25" customHeight="1" s="63"/>
    <row r="610" ht="14.25" customHeight="1" s="63"/>
    <row r="611" ht="14.25" customHeight="1" s="63"/>
    <row r="612" ht="14.25" customHeight="1" s="63"/>
    <row r="613" ht="14.25" customHeight="1" s="63"/>
    <row r="614" ht="14.25" customHeight="1" s="63"/>
    <row r="615" ht="14.25" customHeight="1" s="63"/>
    <row r="616" ht="14.25" customHeight="1" s="63"/>
    <row r="617" ht="14.25" customHeight="1" s="63"/>
    <row r="618" ht="14.25" customHeight="1" s="63"/>
    <row r="619" ht="14.25" customHeight="1" s="63"/>
    <row r="620" ht="14.25" customHeight="1" s="63"/>
    <row r="621" ht="14.25" customHeight="1" s="63"/>
    <row r="622" ht="14.25" customHeight="1" s="63"/>
    <row r="623" ht="14.25" customHeight="1" s="63"/>
    <row r="624" ht="14.25" customHeight="1" s="63"/>
    <row r="625" ht="14.25" customHeight="1" s="63"/>
    <row r="626" ht="14.25" customHeight="1" s="63"/>
    <row r="627" ht="14.25" customHeight="1" s="63"/>
    <row r="628" ht="14.25" customHeight="1" s="63"/>
    <row r="629" ht="14.25" customHeight="1" s="63"/>
    <row r="630" ht="14.25" customHeight="1" s="63"/>
    <row r="631" ht="14.25" customHeight="1" s="63"/>
    <row r="632" ht="14.25" customHeight="1" s="63"/>
    <row r="633" ht="14.25" customHeight="1" s="63"/>
    <row r="634" ht="14.25" customHeight="1" s="63"/>
    <row r="635" ht="14.25" customHeight="1" s="63"/>
    <row r="636" ht="14.25" customHeight="1" s="63"/>
    <row r="637" ht="14.25" customHeight="1" s="63"/>
    <row r="638" ht="14.25" customHeight="1" s="63"/>
    <row r="639" ht="14.25" customHeight="1" s="63"/>
    <row r="640" ht="14.25" customHeight="1" s="63"/>
    <row r="641" ht="14.25" customHeight="1" s="63"/>
    <row r="642" ht="14.25" customHeight="1" s="63"/>
    <row r="643" ht="14.25" customHeight="1" s="63"/>
    <row r="644" ht="14.25" customHeight="1" s="63"/>
    <row r="645" ht="14.25" customHeight="1" s="63"/>
    <row r="646" ht="14.25" customHeight="1" s="63"/>
    <row r="647" ht="14.25" customHeight="1" s="63"/>
    <row r="648" ht="14.25" customHeight="1" s="63"/>
    <row r="649" ht="14.25" customHeight="1" s="63"/>
    <row r="650" ht="14.25" customHeight="1" s="63"/>
    <row r="651" ht="14.25" customHeight="1" s="63"/>
    <row r="652" ht="14.25" customHeight="1" s="63"/>
    <row r="653" ht="14.25" customHeight="1" s="63"/>
    <row r="654" ht="14.25" customHeight="1" s="63"/>
    <row r="655" ht="14.25" customHeight="1" s="63"/>
    <row r="656" ht="14.25" customHeight="1" s="63"/>
    <row r="657" ht="14.25" customHeight="1" s="63"/>
    <row r="658" ht="14.25" customHeight="1" s="63"/>
    <row r="659" ht="14.25" customHeight="1" s="63"/>
    <row r="660" ht="14.25" customHeight="1" s="63"/>
    <row r="661" ht="14.25" customHeight="1" s="63"/>
    <row r="662" ht="14.25" customHeight="1" s="63"/>
    <row r="663" ht="14.25" customHeight="1" s="63"/>
    <row r="664" ht="14.25" customHeight="1" s="63"/>
    <row r="665" ht="14.25" customHeight="1" s="63"/>
    <row r="666" ht="14.25" customHeight="1" s="63"/>
    <row r="667" ht="14.25" customHeight="1" s="63"/>
    <row r="668" ht="14.25" customHeight="1" s="63"/>
    <row r="669" ht="14.25" customHeight="1" s="63"/>
    <row r="670" ht="14.25" customHeight="1" s="63"/>
    <row r="671" ht="14.25" customHeight="1" s="63"/>
    <row r="672" ht="14.25" customHeight="1" s="63"/>
    <row r="673" ht="14.25" customHeight="1" s="63"/>
    <row r="674" ht="14.25" customHeight="1" s="63"/>
    <row r="675" ht="14.25" customHeight="1" s="63"/>
    <row r="676" ht="14.25" customHeight="1" s="63"/>
    <row r="677" ht="14.25" customHeight="1" s="63"/>
    <row r="678" ht="14.25" customHeight="1" s="63"/>
    <row r="679" ht="14.25" customHeight="1" s="63"/>
    <row r="680" ht="14.25" customHeight="1" s="63"/>
    <row r="681" ht="14.25" customHeight="1" s="63"/>
    <row r="682" ht="14.25" customHeight="1" s="63"/>
    <row r="683" ht="14.25" customHeight="1" s="63"/>
    <row r="684" ht="14.25" customHeight="1" s="63"/>
    <row r="685" ht="14.25" customHeight="1" s="63"/>
    <row r="686" ht="14.25" customHeight="1" s="63"/>
    <row r="687" ht="14.25" customHeight="1" s="63"/>
    <row r="688" ht="14.25" customHeight="1" s="63"/>
    <row r="689" ht="14.25" customHeight="1" s="63"/>
    <row r="690" ht="14.25" customHeight="1" s="63"/>
    <row r="691" ht="14.25" customHeight="1" s="63"/>
    <row r="692" ht="14.25" customHeight="1" s="63"/>
    <row r="693" ht="14.25" customHeight="1" s="63"/>
    <row r="694" ht="14.25" customHeight="1" s="63"/>
    <row r="695" ht="14.25" customHeight="1" s="63"/>
    <row r="696" ht="14.25" customHeight="1" s="63"/>
    <row r="697" ht="14.25" customHeight="1" s="63"/>
    <row r="698" ht="14.25" customHeight="1" s="63"/>
    <row r="699" ht="14.25" customHeight="1" s="63"/>
    <row r="700" ht="14.25" customHeight="1" s="63"/>
    <row r="701" ht="14.25" customHeight="1" s="63"/>
    <row r="702" ht="14.25" customHeight="1" s="63"/>
    <row r="703" ht="14.25" customHeight="1" s="63"/>
    <row r="704" ht="14.25" customHeight="1" s="63"/>
    <row r="705" ht="14.25" customHeight="1" s="63"/>
    <row r="706" ht="14.25" customHeight="1" s="63"/>
    <row r="707" ht="14.25" customHeight="1" s="63"/>
    <row r="708" ht="14.25" customHeight="1" s="63"/>
    <row r="709" ht="14.25" customHeight="1" s="63"/>
    <row r="710" ht="14.25" customHeight="1" s="63"/>
    <row r="711" ht="14.25" customHeight="1" s="63"/>
    <row r="712" ht="14.25" customHeight="1" s="63"/>
    <row r="713" ht="14.25" customHeight="1" s="63"/>
    <row r="714" ht="14.25" customHeight="1" s="63"/>
    <row r="715" ht="14.25" customHeight="1" s="63"/>
    <row r="716" ht="14.25" customHeight="1" s="63"/>
    <row r="717" ht="14.25" customHeight="1" s="63"/>
    <row r="718" ht="14.25" customHeight="1" s="63"/>
    <row r="719" ht="14.25" customHeight="1" s="63"/>
    <row r="720" ht="14.25" customHeight="1" s="63"/>
    <row r="721" ht="14.25" customHeight="1" s="63"/>
    <row r="722" ht="14.25" customHeight="1" s="63"/>
    <row r="723" ht="14.25" customHeight="1" s="63"/>
    <row r="724" ht="14.25" customHeight="1" s="63"/>
    <row r="725" ht="14.25" customHeight="1" s="63"/>
    <row r="726" ht="14.25" customHeight="1" s="63"/>
    <row r="727" ht="14.25" customHeight="1" s="63"/>
    <row r="728" ht="14.25" customHeight="1" s="63"/>
    <row r="729" ht="14.25" customHeight="1" s="63"/>
    <row r="730" ht="14.25" customHeight="1" s="63"/>
    <row r="731" ht="14.25" customHeight="1" s="63"/>
    <row r="732" ht="14.25" customHeight="1" s="63"/>
    <row r="733" ht="14.25" customHeight="1" s="63"/>
    <row r="734" ht="14.25" customHeight="1" s="63"/>
    <row r="735" ht="14.25" customHeight="1" s="63"/>
    <row r="736" ht="14.25" customHeight="1" s="63"/>
    <row r="737" ht="14.25" customHeight="1" s="63"/>
    <row r="738" ht="14.25" customHeight="1" s="63"/>
    <row r="739" ht="14.25" customHeight="1" s="63"/>
    <row r="740" ht="14.25" customHeight="1" s="63"/>
    <row r="741" ht="14.25" customHeight="1" s="63"/>
    <row r="742" ht="14.25" customHeight="1" s="63"/>
    <row r="743" ht="14.25" customHeight="1" s="63"/>
    <row r="744" ht="14.25" customHeight="1" s="63"/>
    <row r="745" ht="14.25" customHeight="1" s="63"/>
    <row r="746" ht="14.25" customHeight="1" s="63"/>
    <row r="747" ht="14.25" customHeight="1" s="63"/>
    <row r="748" ht="14.25" customHeight="1" s="63"/>
    <row r="749" ht="14.25" customHeight="1" s="63"/>
    <row r="750" ht="14.25" customHeight="1" s="63"/>
    <row r="751" ht="14.25" customHeight="1" s="63"/>
    <row r="752" ht="14.25" customHeight="1" s="63"/>
    <row r="753" ht="14.25" customHeight="1" s="63"/>
    <row r="754" ht="14.25" customHeight="1" s="63"/>
    <row r="755" ht="14.25" customHeight="1" s="63"/>
    <row r="756" ht="14.25" customHeight="1" s="63"/>
    <row r="757" ht="14.25" customHeight="1" s="63"/>
    <row r="758" ht="14.25" customHeight="1" s="63"/>
    <row r="759" ht="14.25" customHeight="1" s="63"/>
    <row r="760" ht="14.25" customHeight="1" s="63"/>
    <row r="761" ht="14.25" customHeight="1" s="63"/>
    <row r="762" ht="14.25" customHeight="1" s="63"/>
    <row r="763" ht="14.25" customHeight="1" s="63"/>
    <row r="764" ht="14.25" customHeight="1" s="63"/>
    <row r="765" ht="14.25" customHeight="1" s="63"/>
    <row r="766" ht="14.25" customHeight="1" s="63"/>
    <row r="767" ht="14.25" customHeight="1" s="63"/>
    <row r="768" ht="14.25" customHeight="1" s="63"/>
    <row r="769" ht="14.25" customHeight="1" s="63"/>
    <row r="770" ht="14.25" customHeight="1" s="63"/>
    <row r="771" ht="14.25" customHeight="1" s="63"/>
    <row r="772" ht="14.25" customHeight="1" s="63"/>
    <row r="773" ht="14.25" customHeight="1" s="63"/>
    <row r="774" ht="14.25" customHeight="1" s="63"/>
    <row r="775" ht="14.25" customHeight="1" s="63"/>
    <row r="776" ht="14.25" customHeight="1" s="63"/>
    <row r="777" ht="14.25" customHeight="1" s="63"/>
    <row r="778" ht="14.25" customHeight="1" s="63"/>
    <row r="779" ht="14.25" customHeight="1" s="63"/>
    <row r="780" ht="14.25" customHeight="1" s="63"/>
    <row r="781" ht="14.25" customHeight="1" s="63"/>
    <row r="782" ht="14.25" customHeight="1" s="63"/>
    <row r="783" ht="14.25" customHeight="1" s="63"/>
    <row r="784" ht="14.25" customHeight="1" s="63"/>
    <row r="785" ht="14.25" customHeight="1" s="63"/>
    <row r="786" ht="14.25" customHeight="1" s="63"/>
    <row r="787" ht="14.25" customHeight="1" s="63"/>
    <row r="788" ht="14.25" customHeight="1" s="63"/>
    <row r="789" ht="14.25" customHeight="1" s="63"/>
    <row r="790" ht="14.25" customHeight="1" s="63"/>
    <row r="791" ht="14.25" customHeight="1" s="63"/>
    <row r="792" ht="14.25" customHeight="1" s="63"/>
    <row r="793" ht="14.25" customHeight="1" s="63"/>
    <row r="794" ht="14.25" customHeight="1" s="63"/>
    <row r="795" ht="14.25" customHeight="1" s="63"/>
    <row r="796" ht="14.25" customHeight="1" s="63"/>
    <row r="797" ht="14.25" customHeight="1" s="63"/>
    <row r="798" ht="14.25" customHeight="1" s="63"/>
    <row r="799" ht="14.25" customHeight="1" s="63"/>
    <row r="800" ht="14.25" customHeight="1" s="63"/>
    <row r="801" ht="14.25" customHeight="1" s="63"/>
    <row r="802" ht="14.25" customHeight="1" s="63"/>
    <row r="803" ht="14.25" customHeight="1" s="63"/>
    <row r="804" ht="14.25" customHeight="1" s="63"/>
    <row r="805" ht="14.25" customHeight="1" s="63"/>
    <row r="806" ht="14.25" customHeight="1" s="63"/>
    <row r="807" ht="14.25" customHeight="1" s="63"/>
    <row r="808" ht="14.25" customHeight="1" s="63"/>
    <row r="809" ht="14.25" customHeight="1" s="63"/>
    <row r="810" ht="14.25" customHeight="1" s="63"/>
    <row r="811" ht="14.25" customHeight="1" s="63"/>
    <row r="812" ht="14.25" customHeight="1" s="63"/>
    <row r="813" ht="14.25" customHeight="1" s="63"/>
    <row r="814" ht="14.25" customHeight="1" s="63"/>
    <row r="815" ht="14.25" customHeight="1" s="63"/>
    <row r="816" ht="14.25" customHeight="1" s="63"/>
    <row r="817" ht="14.25" customHeight="1" s="63"/>
    <row r="818" ht="14.25" customHeight="1" s="63"/>
    <row r="819" ht="14.25" customHeight="1" s="63"/>
    <row r="820" ht="14.25" customHeight="1" s="63"/>
    <row r="821" ht="14.25" customHeight="1" s="63"/>
    <row r="822" ht="14.25" customHeight="1" s="63"/>
    <row r="823" ht="14.25" customHeight="1" s="63"/>
    <row r="824" ht="14.25" customHeight="1" s="63"/>
    <row r="825" ht="14.25" customHeight="1" s="63"/>
    <row r="826" ht="14.25" customHeight="1" s="63"/>
    <row r="827" ht="14.25" customHeight="1" s="63"/>
    <row r="828" ht="14.25" customHeight="1" s="63"/>
    <row r="829" ht="14.25" customHeight="1" s="63"/>
    <row r="830" ht="14.25" customHeight="1" s="63"/>
    <row r="831" ht="14.25" customHeight="1" s="63"/>
    <row r="832" ht="14.25" customHeight="1" s="63"/>
    <row r="833" ht="14.25" customHeight="1" s="63"/>
    <row r="834" ht="14.25" customHeight="1" s="63"/>
    <row r="835" ht="14.25" customHeight="1" s="63"/>
    <row r="836" ht="14.25" customHeight="1" s="63"/>
    <row r="837" ht="14.25" customHeight="1" s="63"/>
    <row r="838" ht="14.25" customHeight="1" s="63"/>
    <row r="839" ht="14.25" customHeight="1" s="63"/>
    <row r="840" ht="14.25" customHeight="1" s="63"/>
    <row r="841" ht="14.25" customHeight="1" s="63"/>
    <row r="842" ht="14.25" customHeight="1" s="63"/>
    <row r="843" ht="14.25" customHeight="1" s="63"/>
    <row r="844" ht="14.25" customHeight="1" s="63"/>
    <row r="845" ht="14.25" customHeight="1" s="63"/>
    <row r="846" ht="14.25" customHeight="1" s="63"/>
    <row r="847" ht="14.25" customHeight="1" s="63"/>
    <row r="848" ht="14.25" customHeight="1" s="63"/>
    <row r="849" ht="14.25" customHeight="1" s="63"/>
    <row r="850" ht="14.25" customHeight="1" s="63"/>
    <row r="851" ht="14.25" customHeight="1" s="63"/>
    <row r="852" ht="14.25" customHeight="1" s="63"/>
    <row r="853" ht="14.25" customHeight="1" s="63"/>
    <row r="854" ht="14.25" customHeight="1" s="63"/>
    <row r="855" ht="14.25" customHeight="1" s="63"/>
    <row r="856" ht="14.25" customHeight="1" s="63"/>
    <row r="857" ht="14.25" customHeight="1" s="63"/>
    <row r="858" ht="14.25" customHeight="1" s="63"/>
    <row r="859" ht="14.25" customHeight="1" s="63"/>
    <row r="860" ht="14.25" customHeight="1" s="63"/>
    <row r="861" ht="14.25" customHeight="1" s="63"/>
    <row r="862" ht="14.25" customHeight="1" s="63"/>
    <row r="863" ht="14.25" customHeight="1" s="63"/>
    <row r="864" ht="14.25" customHeight="1" s="63"/>
    <row r="865" ht="14.25" customHeight="1" s="63"/>
    <row r="866" ht="14.25" customHeight="1" s="63"/>
    <row r="867" ht="14.25" customHeight="1" s="63"/>
    <row r="868" ht="14.25" customHeight="1" s="63"/>
    <row r="869" ht="14.25" customHeight="1" s="63"/>
    <row r="870" ht="14.25" customHeight="1" s="63"/>
    <row r="871" ht="14.25" customHeight="1" s="63"/>
    <row r="872" ht="14.25" customHeight="1" s="63"/>
    <row r="873" ht="14.25" customHeight="1" s="63"/>
    <row r="874" ht="14.25" customHeight="1" s="63"/>
    <row r="875" ht="14.25" customHeight="1" s="63"/>
    <row r="876" ht="14.25" customHeight="1" s="63"/>
    <row r="877" ht="14.25" customHeight="1" s="63"/>
    <row r="878" ht="14.25" customHeight="1" s="63"/>
    <row r="879" ht="14.25" customHeight="1" s="63"/>
    <row r="880" ht="14.25" customHeight="1" s="63"/>
    <row r="881" ht="14.25" customHeight="1" s="63"/>
    <row r="882" ht="14.25" customHeight="1" s="63"/>
    <row r="883" ht="14.25" customHeight="1" s="63"/>
    <row r="884" ht="14.25" customHeight="1" s="63"/>
    <row r="885" ht="14.25" customHeight="1" s="63"/>
    <row r="886" ht="14.25" customHeight="1" s="63"/>
    <row r="887" ht="14.25" customHeight="1" s="63"/>
    <row r="888" ht="14.25" customHeight="1" s="63"/>
    <row r="889" ht="14.25" customHeight="1" s="63"/>
    <row r="890" ht="14.25" customHeight="1" s="63"/>
    <row r="891" ht="14.25" customHeight="1" s="63"/>
    <row r="892" ht="14.25" customHeight="1" s="63"/>
    <row r="893" ht="14.25" customHeight="1" s="63"/>
    <row r="894" ht="14.25" customHeight="1" s="63"/>
    <row r="895" ht="14.25" customHeight="1" s="63"/>
    <row r="896" ht="14.25" customHeight="1" s="63"/>
    <row r="897" ht="14.25" customHeight="1" s="63"/>
    <row r="898" ht="14.25" customHeight="1" s="63"/>
    <row r="899" ht="14.25" customHeight="1" s="63"/>
    <row r="900" ht="14.25" customHeight="1" s="63"/>
    <row r="901" ht="14.25" customHeight="1" s="63"/>
    <row r="902" ht="14.25" customHeight="1" s="63"/>
    <row r="903" ht="14.25" customHeight="1" s="63"/>
    <row r="904" ht="14.25" customHeight="1" s="63"/>
    <row r="905" ht="14.25" customHeight="1" s="63"/>
    <row r="906" ht="14.25" customHeight="1" s="63"/>
    <row r="907" ht="14.25" customHeight="1" s="63"/>
    <row r="908" ht="14.25" customHeight="1" s="63"/>
    <row r="909" ht="14.25" customHeight="1" s="63"/>
    <row r="910" ht="14.25" customHeight="1" s="63"/>
    <row r="911" ht="14.25" customHeight="1" s="63"/>
    <row r="912" ht="14.25" customHeight="1" s="63"/>
    <row r="913" ht="14.25" customHeight="1" s="63"/>
    <row r="914" ht="14.25" customHeight="1" s="63"/>
    <row r="915" ht="14.25" customHeight="1" s="63"/>
    <row r="916" ht="14.25" customHeight="1" s="63"/>
    <row r="917" ht="14.25" customHeight="1" s="63"/>
    <row r="918" ht="14.25" customHeight="1" s="63"/>
    <row r="919" ht="14.25" customHeight="1" s="63"/>
    <row r="920" ht="14.25" customHeight="1" s="63"/>
    <row r="921" ht="14.25" customHeight="1" s="63"/>
    <row r="922" ht="14.25" customHeight="1" s="63"/>
    <row r="923" ht="14.25" customHeight="1" s="63"/>
    <row r="924" ht="14.25" customHeight="1" s="63"/>
    <row r="925" ht="14.25" customHeight="1" s="63"/>
    <row r="926" ht="14.25" customHeight="1" s="63"/>
    <row r="927" ht="14.25" customHeight="1" s="63"/>
    <row r="928" ht="14.25" customHeight="1" s="63"/>
    <row r="929" ht="14.25" customHeight="1" s="63"/>
    <row r="930" ht="14.25" customHeight="1" s="63"/>
    <row r="931" ht="14.25" customHeight="1" s="63"/>
    <row r="932" ht="14.25" customHeight="1" s="63"/>
    <row r="933" ht="14.25" customHeight="1" s="63"/>
    <row r="934" ht="14.25" customHeight="1" s="63"/>
    <row r="935" ht="14.25" customHeight="1" s="63"/>
    <row r="936" ht="14.25" customHeight="1" s="63"/>
    <row r="937" ht="14.25" customHeight="1" s="63"/>
    <row r="938" ht="14.25" customHeight="1" s="63"/>
    <row r="939" ht="14.25" customHeight="1" s="63"/>
    <row r="940" ht="14.25" customHeight="1" s="63"/>
    <row r="941" ht="14.25" customHeight="1" s="63"/>
    <row r="942" ht="14.25" customHeight="1" s="63"/>
    <row r="943" ht="14.25" customHeight="1" s="63"/>
    <row r="944" ht="14.25" customHeight="1" s="63"/>
    <row r="945" ht="14.25" customHeight="1" s="63"/>
    <row r="946" ht="14.25" customHeight="1" s="63"/>
    <row r="947" ht="14.25" customHeight="1" s="63"/>
    <row r="948" ht="14.25" customHeight="1" s="63"/>
    <row r="949" ht="14.25" customHeight="1" s="63"/>
    <row r="950" ht="14.25" customHeight="1" s="63"/>
    <row r="951" ht="14.25" customHeight="1" s="63"/>
    <row r="952" ht="14.25" customHeight="1" s="63"/>
    <row r="953" ht="14.25" customHeight="1" s="63"/>
    <row r="954" ht="14.25" customHeight="1" s="63"/>
    <row r="955" ht="14.25" customHeight="1" s="63"/>
    <row r="956" ht="14.25" customHeight="1" s="63"/>
    <row r="957" ht="14.25" customHeight="1" s="63"/>
    <row r="958" ht="14.25" customHeight="1" s="63"/>
    <row r="959" ht="14.25" customHeight="1" s="63"/>
    <row r="960" ht="14.25" customHeight="1" s="63"/>
    <row r="961" ht="14.25" customHeight="1" s="63"/>
    <row r="962" ht="14.25" customHeight="1" s="63"/>
    <row r="963" ht="14.25" customHeight="1" s="63"/>
    <row r="964" ht="14.25" customHeight="1" s="63"/>
    <row r="965" ht="14.25" customHeight="1" s="63"/>
    <row r="966" ht="14.25" customHeight="1" s="63"/>
    <row r="967" ht="14.25" customHeight="1" s="63"/>
    <row r="968" ht="14.25" customHeight="1" s="63"/>
    <row r="969" ht="14.25" customHeight="1" s="63"/>
    <row r="970" ht="14.25" customHeight="1" s="63"/>
    <row r="971" ht="14.25" customHeight="1" s="63"/>
    <row r="972" ht="14.25" customHeight="1" s="63"/>
    <row r="973" ht="14.25" customHeight="1" s="63"/>
    <row r="974" ht="14.25" customHeight="1" s="63"/>
    <row r="975" ht="14.25" customHeight="1" s="63"/>
    <row r="976" ht="14.25" customHeight="1" s="63"/>
    <row r="977" ht="14.25" customHeight="1" s="63"/>
    <row r="978" ht="14.25" customHeight="1" s="63"/>
    <row r="979" ht="14.25" customHeight="1" s="63"/>
    <row r="980" ht="14.25" customHeight="1" s="63"/>
    <row r="981" ht="14.25" customHeight="1" s="63"/>
    <row r="982" ht="14.25" customHeight="1" s="63"/>
    <row r="983" ht="14.25" customHeight="1" s="63"/>
    <row r="984" ht="14.25" customHeight="1" s="63"/>
    <row r="985" ht="14.25" customHeight="1" s="63"/>
    <row r="986" ht="14.25" customHeight="1" s="63"/>
    <row r="987" ht="14.25" customHeight="1" s="63"/>
    <row r="988" ht="14.25" customHeight="1" s="63"/>
    <row r="989" ht="14.25" customHeight="1" s="63"/>
    <row r="990" ht="14.25" customHeight="1" s="63"/>
    <row r="991" ht="14.25" customHeight="1" s="63"/>
    <row r="992" ht="14.25" customHeight="1" s="63"/>
    <row r="993" ht="14.25" customHeight="1" s="63"/>
    <row r="994" ht="14.25" customHeight="1" s="63"/>
    <row r="995" ht="14.25" customHeight="1" s="63"/>
    <row r="996" ht="14.25" customHeight="1" s="63"/>
    <row r="997" ht="14.25" customHeight="1" s="63"/>
    <row r="998" ht="14.25" customHeight="1" s="63"/>
    <row r="999" ht="14.25" customHeight="1" s="63"/>
    <row r="1000" ht="14.25" customHeight="1" s="63"/>
  </sheetData>
  <dataValidations count="3">
    <dataValidation sqref="D2:D499" showDropDown="0" showInputMessage="0" showErrorMessage="0" allowBlank="1" type="list">
      <formula1>'Paramètres'!$C$2:$C$11</formula1>
    </dataValidation>
    <dataValidation sqref="G2:G499" showDropDown="0" showInputMessage="0" showErrorMessage="0" allowBlank="1" type="list">
      <formula1>"Oui,Non"</formula1>
    </dataValidation>
    <dataValidation sqref="B2:B499" showDropDown="0" showInputMessage="1" showErrorMessage="1" allowBlank="1" prompt="Click and enter a value from the list of items" type="list">
      <formula1>"Général,Hassan,Jennifer DA COSTA,Louis,Pattom,Scalyx,SPOM"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.71" customWidth="1" style="63" min="1" max="26"/>
  </cols>
  <sheetData>
    <row r="1" ht="14.25" customHeight="1" s="63">
      <c r="A1" s="20" t="inlineStr">
        <is>
          <t>Fournisseur</t>
        </is>
      </c>
      <c r="B1" s="20" t="inlineStr">
        <is>
          <t>Catégorie</t>
        </is>
      </c>
      <c r="C1" s="20" t="inlineStr">
        <is>
          <t>Description</t>
        </is>
      </c>
      <c r="D1" s="20" t="inlineStr">
        <is>
          <t>Montant HT (€)</t>
        </is>
      </c>
      <c r="E1" s="52" t="inlineStr">
        <is>
          <t>Mois d'entrée en compte</t>
        </is>
      </c>
    </row>
    <row r="2" ht="14.25" customHeight="1" s="63">
      <c r="A2" s="53" t="inlineStr">
        <is>
          <t>Anthropic</t>
        </is>
      </c>
      <c r="B2" s="53" t="inlineStr">
        <is>
          <t>Outils SaaS</t>
        </is>
      </c>
      <c r="C2" s="53" t="inlineStr">
        <is>
          <t>Claude API</t>
        </is>
      </c>
      <c r="D2" s="54" t="n">
        <v>100</v>
      </c>
      <c r="E2" s="55" t="n">
        <v>46113</v>
      </c>
    </row>
    <row r="3" ht="14.25" customHeight="1" s="63">
      <c r="A3" s="56" t="inlineStr">
        <is>
          <t>Hostinguer VPS</t>
        </is>
      </c>
      <c r="B3" s="56" t="inlineStr">
        <is>
          <t>Outils SaaS</t>
        </is>
      </c>
      <c r="C3" s="56" t="inlineStr">
        <is>
          <t>Plan Pro</t>
        </is>
      </c>
      <c r="D3" s="57" t="n">
        <v>25</v>
      </c>
      <c r="E3" s="58" t="n">
        <v>46113</v>
      </c>
    </row>
    <row r="4" ht="14.25" customHeight="1" s="63">
      <c r="D4" s="59" t="n"/>
      <c r="E4" s="60" t="n"/>
    </row>
    <row r="5" ht="14.25" customHeight="1" s="63"/>
    <row r="6" ht="14.25" customHeight="1" s="63"/>
    <row r="7" ht="14.25" customHeight="1" s="63"/>
    <row r="8" ht="14.25" customHeight="1" s="63"/>
    <row r="9" ht="14.25" customHeight="1" s="63"/>
    <row r="10" ht="14.25" customHeight="1" s="63"/>
    <row r="11" ht="14.25" customHeight="1" s="63"/>
    <row r="12" ht="14.25" customHeight="1" s="63"/>
    <row r="13" ht="14.25" customHeight="1" s="63"/>
    <row r="14" ht="14.25" customHeight="1" s="63"/>
    <row r="15" ht="14.25" customHeight="1" s="63"/>
    <row r="16" ht="14.25" customHeight="1" s="63"/>
    <row r="17" ht="14.25" customHeight="1" s="63"/>
    <row r="18" ht="14.25" customHeight="1" s="63"/>
    <row r="19" ht="14.25" customHeight="1" s="63"/>
    <row r="20" ht="14.25" customHeight="1" s="63"/>
    <row r="21" ht="14.25" customHeight="1" s="63"/>
    <row r="22" ht="14.25" customHeight="1" s="63"/>
    <row r="23" ht="14.25" customHeight="1" s="63"/>
    <row r="24" ht="14.25" customHeight="1" s="63"/>
    <row r="25" ht="14.25" customHeight="1" s="63"/>
    <row r="26" ht="14.25" customHeight="1" s="63"/>
    <row r="27" ht="14.25" customHeight="1" s="63"/>
    <row r="28" ht="14.25" customHeight="1" s="63"/>
    <row r="29" ht="14.25" customHeight="1" s="63"/>
    <row r="30" ht="14.25" customHeight="1" s="63"/>
    <row r="31" ht="14.25" customHeight="1" s="63"/>
    <row r="32" ht="14.25" customHeight="1" s="63"/>
    <row r="33" ht="14.25" customHeight="1" s="63"/>
    <row r="34" ht="14.25" customHeight="1" s="63"/>
    <row r="35" ht="14.25" customHeight="1" s="63"/>
    <row r="36" ht="14.25" customHeight="1" s="63"/>
    <row r="37" ht="14.25" customHeight="1" s="63"/>
    <row r="38" ht="14.25" customHeight="1" s="63"/>
    <row r="39" ht="14.25" customHeight="1" s="63"/>
    <row r="40" ht="14.25" customHeight="1" s="63"/>
    <row r="41" ht="14.25" customHeight="1" s="63"/>
    <row r="42" ht="14.25" customHeight="1" s="63"/>
    <row r="43" ht="14.25" customHeight="1" s="63"/>
    <row r="44" ht="14.25" customHeight="1" s="63"/>
    <row r="45" ht="14.25" customHeight="1" s="63"/>
    <row r="46" ht="14.25" customHeight="1" s="63"/>
    <row r="47" ht="14.25" customHeight="1" s="63"/>
    <row r="48" ht="14.25" customHeight="1" s="63"/>
    <row r="49" ht="14.25" customHeight="1" s="63"/>
    <row r="50" ht="14.25" customHeight="1" s="63"/>
    <row r="51" ht="14.25" customHeight="1" s="63"/>
    <row r="52" ht="14.25" customHeight="1" s="63"/>
    <row r="53" ht="14.25" customHeight="1" s="63"/>
    <row r="54" ht="14.25" customHeight="1" s="63"/>
    <row r="55" ht="14.25" customHeight="1" s="63"/>
    <row r="56" ht="14.25" customHeight="1" s="63"/>
    <row r="57" ht="14.25" customHeight="1" s="63"/>
    <row r="58" ht="14.25" customHeight="1" s="63"/>
    <row r="59" ht="14.25" customHeight="1" s="63"/>
    <row r="60" ht="14.25" customHeight="1" s="63"/>
    <row r="61" ht="14.25" customHeight="1" s="63"/>
    <row r="62" ht="14.25" customHeight="1" s="63"/>
    <row r="63" ht="14.25" customHeight="1" s="63"/>
    <row r="64" ht="14.25" customHeight="1" s="63"/>
    <row r="65" ht="14.25" customHeight="1" s="63"/>
    <row r="66" ht="14.25" customHeight="1" s="63"/>
    <row r="67" ht="14.25" customHeight="1" s="63"/>
    <row r="68" ht="14.25" customHeight="1" s="63"/>
    <row r="69" ht="14.25" customHeight="1" s="63"/>
    <row r="70" ht="14.25" customHeight="1" s="63"/>
    <row r="71" ht="14.25" customHeight="1" s="63"/>
    <row r="72" ht="14.25" customHeight="1" s="63"/>
    <row r="73" ht="14.25" customHeight="1" s="63"/>
    <row r="74" ht="14.25" customHeight="1" s="63"/>
    <row r="75" ht="14.25" customHeight="1" s="63"/>
    <row r="76" ht="14.25" customHeight="1" s="63"/>
    <row r="77" ht="14.25" customHeight="1" s="63"/>
    <row r="78" ht="14.25" customHeight="1" s="63"/>
    <row r="79" ht="14.25" customHeight="1" s="63"/>
    <row r="80" ht="14.25" customHeight="1" s="63"/>
    <row r="81" ht="14.25" customHeight="1" s="63"/>
    <row r="82" ht="14.25" customHeight="1" s="63"/>
    <row r="83" ht="14.25" customHeight="1" s="63"/>
    <row r="84" ht="14.25" customHeight="1" s="63"/>
    <row r="85" ht="14.25" customHeight="1" s="63"/>
    <row r="86" ht="14.25" customHeight="1" s="63"/>
    <row r="87" ht="14.25" customHeight="1" s="63"/>
    <row r="88" ht="14.25" customHeight="1" s="63"/>
    <row r="89" ht="14.25" customHeight="1" s="63"/>
    <row r="90" ht="14.25" customHeight="1" s="63"/>
    <row r="91" ht="14.25" customHeight="1" s="63"/>
    <row r="92" ht="14.25" customHeight="1" s="63"/>
    <row r="93" ht="14.25" customHeight="1" s="63"/>
    <row r="94" ht="14.25" customHeight="1" s="63"/>
    <row r="95" ht="14.25" customHeight="1" s="63"/>
    <row r="96" ht="14.25" customHeight="1" s="63"/>
    <row r="97" ht="14.25" customHeight="1" s="63"/>
    <row r="98" ht="14.25" customHeight="1" s="63"/>
    <row r="99" ht="14.25" customHeight="1" s="63"/>
    <row r="100" ht="14.25" customHeight="1" s="63"/>
    <row r="101" ht="14.25" customHeight="1" s="63"/>
    <row r="102" ht="14.25" customHeight="1" s="63"/>
    <row r="103" ht="14.25" customHeight="1" s="63"/>
    <row r="104" ht="14.25" customHeight="1" s="63"/>
    <row r="105" ht="14.25" customHeight="1" s="63"/>
    <row r="106" ht="14.25" customHeight="1" s="63"/>
    <row r="107" ht="14.25" customHeight="1" s="63"/>
    <row r="108" ht="14.25" customHeight="1" s="63"/>
    <row r="109" ht="14.25" customHeight="1" s="63"/>
    <row r="110" ht="14.25" customHeight="1" s="63"/>
    <row r="111" ht="14.25" customHeight="1" s="63"/>
    <row r="112" ht="14.25" customHeight="1" s="63"/>
    <row r="113" ht="14.25" customHeight="1" s="63"/>
    <row r="114" ht="14.25" customHeight="1" s="63"/>
    <row r="115" ht="14.25" customHeight="1" s="63"/>
    <row r="116" ht="14.25" customHeight="1" s="63"/>
    <row r="117" ht="14.25" customHeight="1" s="63"/>
    <row r="118" ht="14.25" customHeight="1" s="63"/>
    <row r="119" ht="14.25" customHeight="1" s="63"/>
    <row r="120" ht="14.25" customHeight="1" s="63"/>
    <row r="121" ht="14.25" customHeight="1" s="63"/>
    <row r="122" ht="14.25" customHeight="1" s="63"/>
    <row r="123" ht="14.25" customHeight="1" s="63"/>
    <row r="124" ht="14.25" customHeight="1" s="63"/>
    <row r="125" ht="14.25" customHeight="1" s="63"/>
    <row r="126" ht="14.25" customHeight="1" s="63"/>
    <row r="127" ht="14.25" customHeight="1" s="63"/>
    <row r="128" ht="14.25" customHeight="1" s="63"/>
    <row r="129" ht="14.25" customHeight="1" s="63"/>
    <row r="130" ht="14.25" customHeight="1" s="63"/>
    <row r="131" ht="14.25" customHeight="1" s="63"/>
    <row r="132" ht="14.25" customHeight="1" s="63"/>
    <row r="133" ht="14.25" customHeight="1" s="63"/>
    <row r="134" ht="14.25" customHeight="1" s="63"/>
    <row r="135" ht="14.25" customHeight="1" s="63"/>
    <row r="136" ht="14.25" customHeight="1" s="63"/>
    <row r="137" ht="14.25" customHeight="1" s="63"/>
    <row r="138" ht="14.25" customHeight="1" s="63"/>
    <row r="139" ht="14.25" customHeight="1" s="63"/>
    <row r="140" ht="14.25" customHeight="1" s="63"/>
    <row r="141" ht="14.25" customHeight="1" s="63"/>
    <row r="142" ht="14.25" customHeight="1" s="63"/>
    <row r="143" ht="14.25" customHeight="1" s="63"/>
    <row r="144" ht="14.25" customHeight="1" s="63"/>
    <row r="145" ht="14.25" customHeight="1" s="63"/>
    <row r="146" ht="14.25" customHeight="1" s="63"/>
    <row r="147" ht="14.25" customHeight="1" s="63"/>
    <row r="148" ht="14.25" customHeight="1" s="63"/>
    <row r="149" ht="14.25" customHeight="1" s="63"/>
    <row r="150" ht="14.25" customHeight="1" s="63"/>
    <row r="151" ht="14.25" customHeight="1" s="63"/>
    <row r="152" ht="14.25" customHeight="1" s="63"/>
    <row r="153" ht="14.25" customHeight="1" s="63"/>
    <row r="154" ht="14.25" customHeight="1" s="63"/>
    <row r="155" ht="14.25" customHeight="1" s="63"/>
    <row r="156" ht="14.25" customHeight="1" s="63"/>
    <row r="157" ht="14.25" customHeight="1" s="63"/>
    <row r="158" ht="14.25" customHeight="1" s="63"/>
    <row r="159" ht="14.25" customHeight="1" s="63"/>
    <row r="160" ht="14.25" customHeight="1" s="63"/>
    <row r="161" ht="14.25" customHeight="1" s="63"/>
    <row r="162" ht="14.25" customHeight="1" s="63"/>
    <row r="163" ht="14.25" customHeight="1" s="63"/>
    <row r="164" ht="14.25" customHeight="1" s="63"/>
    <row r="165" ht="14.25" customHeight="1" s="63"/>
    <row r="166" ht="14.25" customHeight="1" s="63"/>
    <row r="167" ht="14.25" customHeight="1" s="63"/>
    <row r="168" ht="14.25" customHeight="1" s="63"/>
    <row r="169" ht="14.25" customHeight="1" s="63"/>
    <row r="170" ht="14.25" customHeight="1" s="63"/>
    <row r="171" ht="14.25" customHeight="1" s="63"/>
    <row r="172" ht="14.25" customHeight="1" s="63"/>
    <row r="173" ht="14.25" customHeight="1" s="63"/>
    <row r="174" ht="14.25" customHeight="1" s="63"/>
    <row r="175" ht="14.25" customHeight="1" s="63"/>
    <row r="176" ht="14.25" customHeight="1" s="63"/>
    <row r="177" ht="14.25" customHeight="1" s="63"/>
    <row r="178" ht="14.25" customHeight="1" s="63"/>
    <row r="179" ht="14.25" customHeight="1" s="63"/>
    <row r="180" ht="14.25" customHeight="1" s="63"/>
    <row r="181" ht="14.25" customHeight="1" s="63"/>
    <row r="182" ht="14.25" customHeight="1" s="63"/>
    <row r="183" ht="14.25" customHeight="1" s="63"/>
    <row r="184" ht="14.25" customHeight="1" s="63"/>
    <row r="185" ht="14.25" customHeight="1" s="63"/>
    <row r="186" ht="14.25" customHeight="1" s="63"/>
    <row r="187" ht="14.25" customHeight="1" s="63"/>
    <row r="188" ht="14.25" customHeight="1" s="63"/>
    <row r="189" ht="14.25" customHeight="1" s="63"/>
    <row r="190" ht="14.25" customHeight="1" s="63"/>
    <row r="191" ht="14.25" customHeight="1" s="63"/>
    <row r="192" ht="14.25" customHeight="1" s="63"/>
    <row r="193" ht="14.25" customHeight="1" s="63"/>
    <row r="194" ht="14.25" customHeight="1" s="63"/>
    <row r="195" ht="14.25" customHeight="1" s="63"/>
    <row r="196" ht="14.25" customHeight="1" s="63"/>
    <row r="197" ht="14.25" customHeight="1" s="63"/>
    <row r="198" ht="14.25" customHeight="1" s="63"/>
    <row r="199" ht="14.25" customHeight="1" s="63"/>
    <row r="200" ht="14.25" customHeight="1" s="63"/>
    <row r="201" ht="14.25" customHeight="1" s="63"/>
    <row r="202" ht="14.25" customHeight="1" s="63"/>
    <row r="203" ht="14.25" customHeight="1" s="63"/>
    <row r="204" ht="14.25" customHeight="1" s="63"/>
    <row r="205" ht="14.25" customHeight="1" s="63"/>
    <row r="206" ht="14.25" customHeight="1" s="63"/>
    <row r="207" ht="14.25" customHeight="1" s="63"/>
    <row r="208" ht="14.25" customHeight="1" s="63"/>
    <row r="209" ht="14.25" customHeight="1" s="63"/>
    <row r="210" ht="14.25" customHeight="1" s="63"/>
    <row r="211" ht="14.25" customHeight="1" s="63"/>
    <row r="212" ht="14.25" customHeight="1" s="63"/>
    <row r="213" ht="14.25" customHeight="1" s="63"/>
    <row r="214" ht="14.25" customHeight="1" s="63"/>
    <row r="215" ht="14.25" customHeight="1" s="63"/>
    <row r="216" ht="14.25" customHeight="1" s="63"/>
    <row r="217" ht="14.25" customHeight="1" s="63"/>
    <row r="218" ht="14.25" customHeight="1" s="63"/>
    <row r="219" ht="14.25" customHeight="1" s="63"/>
    <row r="220" ht="14.25" customHeight="1" s="63"/>
    <row r="221" ht="14.25" customHeight="1" s="63"/>
    <row r="222" ht="14.25" customHeight="1" s="63"/>
    <row r="223" ht="14.25" customHeight="1" s="63"/>
    <row r="224" ht="14.25" customHeight="1" s="63"/>
    <row r="225" ht="14.25" customHeight="1" s="63"/>
    <row r="226" ht="14.25" customHeight="1" s="63"/>
    <row r="227" ht="14.25" customHeight="1" s="63"/>
    <row r="228" ht="14.25" customHeight="1" s="63"/>
    <row r="229" ht="14.25" customHeight="1" s="63"/>
    <row r="230" ht="14.25" customHeight="1" s="63"/>
    <row r="231" ht="14.25" customHeight="1" s="63"/>
    <row r="232" ht="14.25" customHeight="1" s="63"/>
    <row r="233" ht="14.25" customHeight="1" s="63"/>
    <row r="234" ht="14.25" customHeight="1" s="63"/>
    <row r="235" ht="14.25" customHeight="1" s="63"/>
    <row r="236" ht="14.25" customHeight="1" s="63"/>
    <row r="237" ht="14.25" customHeight="1" s="63"/>
    <row r="238" ht="14.25" customHeight="1" s="63"/>
    <row r="239" ht="14.25" customHeight="1" s="63"/>
    <row r="240" ht="14.25" customHeight="1" s="63"/>
    <row r="241" ht="14.25" customHeight="1" s="63"/>
    <row r="242" ht="14.25" customHeight="1" s="63"/>
    <row r="243" ht="14.25" customHeight="1" s="63"/>
    <row r="244" ht="14.25" customHeight="1" s="63"/>
    <row r="245" ht="14.25" customHeight="1" s="63"/>
    <row r="246" ht="14.25" customHeight="1" s="63"/>
    <row r="247" ht="14.25" customHeight="1" s="63"/>
    <row r="248" ht="14.25" customHeight="1" s="63"/>
    <row r="249" ht="14.25" customHeight="1" s="63"/>
    <row r="250" ht="14.25" customHeight="1" s="63"/>
    <row r="251" ht="14.25" customHeight="1" s="63"/>
    <row r="252" ht="14.25" customHeight="1" s="63"/>
    <row r="253" ht="14.25" customHeight="1" s="63"/>
    <row r="254" ht="14.25" customHeight="1" s="63"/>
    <row r="255" ht="14.25" customHeight="1" s="63"/>
    <row r="256" ht="14.25" customHeight="1" s="63"/>
    <row r="257" ht="14.25" customHeight="1" s="63"/>
    <row r="258" ht="14.25" customHeight="1" s="63"/>
    <row r="259" ht="14.25" customHeight="1" s="63"/>
    <row r="260" ht="14.25" customHeight="1" s="63"/>
    <row r="261" ht="14.25" customHeight="1" s="63"/>
    <row r="262" ht="14.25" customHeight="1" s="63"/>
    <row r="263" ht="14.25" customHeight="1" s="63"/>
    <row r="264" ht="14.25" customHeight="1" s="63"/>
    <row r="265" ht="14.25" customHeight="1" s="63"/>
    <row r="266" ht="14.25" customHeight="1" s="63"/>
    <row r="267" ht="14.25" customHeight="1" s="63"/>
    <row r="268" ht="14.25" customHeight="1" s="63"/>
    <row r="269" ht="14.25" customHeight="1" s="63"/>
    <row r="270" ht="14.25" customHeight="1" s="63"/>
    <row r="271" ht="14.25" customHeight="1" s="63"/>
    <row r="272" ht="14.25" customHeight="1" s="63"/>
    <row r="273" ht="14.25" customHeight="1" s="63"/>
    <row r="274" ht="14.25" customHeight="1" s="63"/>
    <row r="275" ht="14.25" customHeight="1" s="63"/>
    <row r="276" ht="14.25" customHeight="1" s="63"/>
    <row r="277" ht="14.25" customHeight="1" s="63"/>
    <row r="278" ht="14.25" customHeight="1" s="63"/>
    <row r="279" ht="14.25" customHeight="1" s="63"/>
    <row r="280" ht="14.25" customHeight="1" s="63"/>
    <row r="281" ht="14.25" customHeight="1" s="63"/>
    <row r="282" ht="14.25" customHeight="1" s="63"/>
    <row r="283" ht="14.25" customHeight="1" s="63"/>
    <row r="284" ht="14.25" customHeight="1" s="63"/>
    <row r="285" ht="14.25" customHeight="1" s="63"/>
    <row r="286" ht="14.25" customHeight="1" s="63"/>
    <row r="287" ht="14.25" customHeight="1" s="63"/>
    <row r="288" ht="14.25" customHeight="1" s="63"/>
    <row r="289" ht="14.25" customHeight="1" s="63"/>
    <row r="290" ht="14.25" customHeight="1" s="63"/>
    <row r="291" ht="14.25" customHeight="1" s="63"/>
    <row r="292" ht="14.25" customHeight="1" s="63"/>
    <row r="293" ht="14.25" customHeight="1" s="63"/>
    <row r="294" ht="14.25" customHeight="1" s="63"/>
    <row r="295" ht="14.25" customHeight="1" s="63"/>
    <row r="296" ht="14.25" customHeight="1" s="63"/>
    <row r="297" ht="14.25" customHeight="1" s="63"/>
    <row r="298" ht="14.25" customHeight="1" s="63"/>
    <row r="299" ht="14.25" customHeight="1" s="63"/>
    <row r="300" ht="14.25" customHeight="1" s="63"/>
    <row r="301" ht="14.25" customHeight="1" s="63"/>
    <row r="302" ht="14.25" customHeight="1" s="63"/>
    <row r="303" ht="14.25" customHeight="1" s="63"/>
    <row r="304" ht="14.25" customHeight="1" s="63"/>
    <row r="305" ht="14.25" customHeight="1" s="63"/>
    <row r="306" ht="14.25" customHeight="1" s="63"/>
    <row r="307" ht="14.25" customHeight="1" s="63"/>
    <row r="308" ht="14.25" customHeight="1" s="63"/>
    <row r="309" ht="14.25" customHeight="1" s="63"/>
    <row r="310" ht="14.25" customHeight="1" s="63"/>
    <row r="311" ht="14.25" customHeight="1" s="63"/>
    <row r="312" ht="14.25" customHeight="1" s="63"/>
    <row r="313" ht="14.25" customHeight="1" s="63"/>
    <row r="314" ht="14.25" customHeight="1" s="63"/>
    <row r="315" ht="14.25" customHeight="1" s="63"/>
    <row r="316" ht="14.25" customHeight="1" s="63"/>
    <row r="317" ht="14.25" customHeight="1" s="63"/>
    <row r="318" ht="14.25" customHeight="1" s="63"/>
    <row r="319" ht="14.25" customHeight="1" s="63"/>
    <row r="320" ht="14.25" customHeight="1" s="63"/>
    <row r="321" ht="14.25" customHeight="1" s="63"/>
    <row r="322" ht="14.25" customHeight="1" s="63"/>
    <row r="323" ht="14.25" customHeight="1" s="63"/>
    <row r="324" ht="14.25" customHeight="1" s="63"/>
    <row r="325" ht="14.25" customHeight="1" s="63"/>
    <row r="326" ht="14.25" customHeight="1" s="63"/>
    <row r="327" ht="14.25" customHeight="1" s="63"/>
    <row r="328" ht="14.25" customHeight="1" s="63"/>
    <row r="329" ht="14.25" customHeight="1" s="63"/>
    <row r="330" ht="14.25" customHeight="1" s="63"/>
    <row r="331" ht="14.25" customHeight="1" s="63"/>
    <row r="332" ht="14.25" customHeight="1" s="63"/>
    <row r="333" ht="14.25" customHeight="1" s="63"/>
    <row r="334" ht="14.25" customHeight="1" s="63"/>
    <row r="335" ht="14.25" customHeight="1" s="63"/>
    <row r="336" ht="14.25" customHeight="1" s="63"/>
    <row r="337" ht="14.25" customHeight="1" s="63"/>
    <row r="338" ht="14.25" customHeight="1" s="63"/>
    <row r="339" ht="14.25" customHeight="1" s="63"/>
    <row r="340" ht="14.25" customHeight="1" s="63"/>
    <row r="341" ht="14.25" customHeight="1" s="63"/>
    <row r="342" ht="14.25" customHeight="1" s="63"/>
    <row r="343" ht="14.25" customHeight="1" s="63"/>
    <row r="344" ht="14.25" customHeight="1" s="63"/>
    <row r="345" ht="14.25" customHeight="1" s="63"/>
    <row r="346" ht="14.25" customHeight="1" s="63"/>
    <row r="347" ht="14.25" customHeight="1" s="63"/>
    <row r="348" ht="14.25" customHeight="1" s="63"/>
    <row r="349" ht="14.25" customHeight="1" s="63"/>
    <row r="350" ht="14.25" customHeight="1" s="63"/>
    <row r="351" ht="14.25" customHeight="1" s="63"/>
    <row r="352" ht="14.25" customHeight="1" s="63"/>
    <row r="353" ht="14.25" customHeight="1" s="63"/>
    <row r="354" ht="14.25" customHeight="1" s="63"/>
    <row r="355" ht="14.25" customHeight="1" s="63"/>
    <row r="356" ht="14.25" customHeight="1" s="63"/>
    <row r="357" ht="14.25" customHeight="1" s="63"/>
    <row r="358" ht="14.25" customHeight="1" s="63"/>
    <row r="359" ht="14.25" customHeight="1" s="63"/>
    <row r="360" ht="14.25" customHeight="1" s="63"/>
    <row r="361" ht="14.25" customHeight="1" s="63"/>
    <row r="362" ht="14.25" customHeight="1" s="63"/>
    <row r="363" ht="14.25" customHeight="1" s="63"/>
    <row r="364" ht="14.25" customHeight="1" s="63"/>
    <row r="365" ht="14.25" customHeight="1" s="63"/>
    <row r="366" ht="14.25" customHeight="1" s="63"/>
    <row r="367" ht="14.25" customHeight="1" s="63"/>
    <row r="368" ht="14.25" customHeight="1" s="63"/>
    <row r="369" ht="14.25" customHeight="1" s="63"/>
    <row r="370" ht="14.25" customHeight="1" s="63"/>
    <row r="371" ht="14.25" customHeight="1" s="63"/>
    <row r="372" ht="14.25" customHeight="1" s="63"/>
    <row r="373" ht="14.25" customHeight="1" s="63"/>
    <row r="374" ht="14.25" customHeight="1" s="63"/>
    <row r="375" ht="14.25" customHeight="1" s="63"/>
    <row r="376" ht="14.25" customHeight="1" s="63"/>
    <row r="377" ht="14.25" customHeight="1" s="63"/>
    <row r="378" ht="14.25" customHeight="1" s="63"/>
    <row r="379" ht="14.25" customHeight="1" s="63"/>
    <row r="380" ht="14.25" customHeight="1" s="63"/>
    <row r="381" ht="14.25" customHeight="1" s="63"/>
    <row r="382" ht="14.25" customHeight="1" s="63"/>
    <row r="383" ht="14.25" customHeight="1" s="63"/>
    <row r="384" ht="14.25" customHeight="1" s="63"/>
    <row r="385" ht="14.25" customHeight="1" s="63"/>
    <row r="386" ht="14.25" customHeight="1" s="63"/>
    <row r="387" ht="14.25" customHeight="1" s="63"/>
    <row r="388" ht="14.25" customHeight="1" s="63"/>
    <row r="389" ht="14.25" customHeight="1" s="63"/>
    <row r="390" ht="14.25" customHeight="1" s="63"/>
    <row r="391" ht="14.25" customHeight="1" s="63"/>
    <row r="392" ht="14.25" customHeight="1" s="63"/>
    <row r="393" ht="14.25" customHeight="1" s="63"/>
    <row r="394" ht="14.25" customHeight="1" s="63"/>
    <row r="395" ht="14.25" customHeight="1" s="63"/>
    <row r="396" ht="14.25" customHeight="1" s="63"/>
    <row r="397" ht="14.25" customHeight="1" s="63"/>
    <row r="398" ht="14.25" customHeight="1" s="63"/>
    <row r="399" ht="14.25" customHeight="1" s="63"/>
    <row r="400" ht="14.25" customHeight="1" s="63"/>
    <row r="401" ht="14.25" customHeight="1" s="63"/>
    <row r="402" ht="14.25" customHeight="1" s="63"/>
    <row r="403" ht="14.25" customHeight="1" s="63"/>
    <row r="404" ht="14.25" customHeight="1" s="63"/>
    <row r="405" ht="14.25" customHeight="1" s="63"/>
    <row r="406" ht="14.25" customHeight="1" s="63"/>
    <row r="407" ht="14.25" customHeight="1" s="63"/>
    <row r="408" ht="14.25" customHeight="1" s="63"/>
    <row r="409" ht="14.25" customHeight="1" s="63"/>
    <row r="410" ht="14.25" customHeight="1" s="63"/>
    <row r="411" ht="14.25" customHeight="1" s="63"/>
    <row r="412" ht="14.25" customHeight="1" s="63"/>
    <row r="413" ht="14.25" customHeight="1" s="63"/>
    <row r="414" ht="14.25" customHeight="1" s="63"/>
    <row r="415" ht="14.25" customHeight="1" s="63"/>
    <row r="416" ht="14.25" customHeight="1" s="63"/>
    <row r="417" ht="14.25" customHeight="1" s="63"/>
    <row r="418" ht="14.25" customHeight="1" s="63"/>
    <row r="419" ht="14.25" customHeight="1" s="63"/>
    <row r="420" ht="14.25" customHeight="1" s="63"/>
    <row r="421" ht="14.25" customHeight="1" s="63"/>
    <row r="422" ht="14.25" customHeight="1" s="63"/>
    <row r="423" ht="14.25" customHeight="1" s="63"/>
    <row r="424" ht="14.25" customHeight="1" s="63"/>
    <row r="425" ht="14.25" customHeight="1" s="63"/>
    <row r="426" ht="14.25" customHeight="1" s="63"/>
    <row r="427" ht="14.25" customHeight="1" s="63"/>
    <row r="428" ht="14.25" customHeight="1" s="63"/>
    <row r="429" ht="14.25" customHeight="1" s="63"/>
    <row r="430" ht="14.25" customHeight="1" s="63"/>
    <row r="431" ht="14.25" customHeight="1" s="63"/>
    <row r="432" ht="14.25" customHeight="1" s="63"/>
    <row r="433" ht="14.25" customHeight="1" s="63"/>
    <row r="434" ht="14.25" customHeight="1" s="63"/>
    <row r="435" ht="14.25" customHeight="1" s="63"/>
    <row r="436" ht="14.25" customHeight="1" s="63"/>
    <row r="437" ht="14.25" customHeight="1" s="63"/>
    <row r="438" ht="14.25" customHeight="1" s="63"/>
    <row r="439" ht="14.25" customHeight="1" s="63"/>
    <row r="440" ht="14.25" customHeight="1" s="63"/>
    <row r="441" ht="14.25" customHeight="1" s="63"/>
    <row r="442" ht="14.25" customHeight="1" s="63"/>
    <row r="443" ht="14.25" customHeight="1" s="63"/>
    <row r="444" ht="14.25" customHeight="1" s="63"/>
    <row r="445" ht="14.25" customHeight="1" s="63"/>
    <row r="446" ht="14.25" customHeight="1" s="63"/>
    <row r="447" ht="14.25" customHeight="1" s="63"/>
    <row r="448" ht="14.25" customHeight="1" s="63"/>
    <row r="449" ht="14.25" customHeight="1" s="63"/>
    <row r="450" ht="14.25" customHeight="1" s="63"/>
    <row r="451" ht="14.25" customHeight="1" s="63"/>
    <row r="452" ht="14.25" customHeight="1" s="63"/>
    <row r="453" ht="14.25" customHeight="1" s="63"/>
    <row r="454" ht="14.25" customHeight="1" s="63"/>
    <row r="455" ht="14.25" customHeight="1" s="63"/>
    <row r="456" ht="14.25" customHeight="1" s="63"/>
    <row r="457" ht="14.25" customHeight="1" s="63"/>
    <row r="458" ht="14.25" customHeight="1" s="63"/>
    <row r="459" ht="14.25" customHeight="1" s="63"/>
    <row r="460" ht="14.25" customHeight="1" s="63"/>
    <row r="461" ht="14.25" customHeight="1" s="63"/>
    <row r="462" ht="14.25" customHeight="1" s="63"/>
    <row r="463" ht="14.25" customHeight="1" s="63"/>
    <row r="464" ht="14.25" customHeight="1" s="63"/>
    <row r="465" ht="14.25" customHeight="1" s="63"/>
    <row r="466" ht="14.25" customHeight="1" s="63"/>
    <row r="467" ht="14.25" customHeight="1" s="63"/>
    <row r="468" ht="14.25" customHeight="1" s="63"/>
    <row r="469" ht="14.25" customHeight="1" s="63"/>
    <row r="470" ht="14.25" customHeight="1" s="63"/>
    <row r="471" ht="14.25" customHeight="1" s="63"/>
    <row r="472" ht="14.25" customHeight="1" s="63"/>
    <row r="473" ht="14.25" customHeight="1" s="63"/>
    <row r="474" ht="14.25" customHeight="1" s="63"/>
    <row r="475" ht="14.25" customHeight="1" s="63"/>
    <row r="476" ht="14.25" customHeight="1" s="63"/>
    <row r="477" ht="14.25" customHeight="1" s="63"/>
    <row r="478" ht="14.25" customHeight="1" s="63"/>
    <row r="479" ht="14.25" customHeight="1" s="63"/>
    <row r="480" ht="14.25" customHeight="1" s="63"/>
    <row r="481" ht="14.25" customHeight="1" s="63"/>
    <row r="482" ht="14.25" customHeight="1" s="63"/>
    <row r="483" ht="14.25" customHeight="1" s="63"/>
    <row r="484" ht="14.25" customHeight="1" s="63"/>
    <row r="485" ht="14.25" customHeight="1" s="63"/>
    <row r="486" ht="14.25" customHeight="1" s="63"/>
    <row r="487" ht="14.25" customHeight="1" s="63"/>
    <row r="488" ht="14.25" customHeight="1" s="63"/>
    <row r="489" ht="14.25" customHeight="1" s="63"/>
    <row r="490" ht="14.25" customHeight="1" s="63"/>
    <row r="491" ht="14.25" customHeight="1" s="63"/>
    <row r="492" ht="14.25" customHeight="1" s="63"/>
    <row r="493" ht="14.25" customHeight="1" s="63"/>
    <row r="494" ht="14.25" customHeight="1" s="63"/>
    <row r="495" ht="14.25" customHeight="1" s="63"/>
    <row r="496" ht="14.25" customHeight="1" s="63"/>
    <row r="497" ht="14.25" customHeight="1" s="63"/>
    <row r="498" ht="14.25" customHeight="1" s="63"/>
    <row r="499" ht="14.25" customHeight="1" s="63"/>
    <row r="500" ht="14.25" customHeight="1" s="63"/>
    <row r="501" ht="14.25" customHeight="1" s="63"/>
    <row r="502" ht="14.25" customHeight="1" s="63"/>
    <row r="503" ht="14.25" customHeight="1" s="63"/>
    <row r="504" ht="14.25" customHeight="1" s="63"/>
    <row r="505" ht="14.25" customHeight="1" s="63"/>
    <row r="506" ht="14.25" customHeight="1" s="63"/>
    <row r="507" ht="14.25" customHeight="1" s="63"/>
    <row r="508" ht="14.25" customHeight="1" s="63"/>
    <row r="509" ht="14.25" customHeight="1" s="63"/>
    <row r="510" ht="14.25" customHeight="1" s="63"/>
    <row r="511" ht="14.25" customHeight="1" s="63"/>
    <row r="512" ht="14.25" customHeight="1" s="63"/>
    <row r="513" ht="14.25" customHeight="1" s="63"/>
    <row r="514" ht="14.25" customHeight="1" s="63"/>
    <row r="515" ht="14.25" customHeight="1" s="63"/>
    <row r="516" ht="14.25" customHeight="1" s="63"/>
    <row r="517" ht="14.25" customHeight="1" s="63"/>
    <row r="518" ht="14.25" customHeight="1" s="63"/>
    <row r="519" ht="14.25" customHeight="1" s="63"/>
    <row r="520" ht="14.25" customHeight="1" s="63"/>
    <row r="521" ht="14.25" customHeight="1" s="63"/>
    <row r="522" ht="14.25" customHeight="1" s="63"/>
    <row r="523" ht="14.25" customHeight="1" s="63"/>
    <row r="524" ht="14.25" customHeight="1" s="63"/>
    <row r="525" ht="14.25" customHeight="1" s="63"/>
    <row r="526" ht="14.25" customHeight="1" s="63"/>
    <row r="527" ht="14.25" customHeight="1" s="63"/>
    <row r="528" ht="14.25" customHeight="1" s="63"/>
    <row r="529" ht="14.25" customHeight="1" s="63"/>
    <row r="530" ht="14.25" customHeight="1" s="63"/>
    <row r="531" ht="14.25" customHeight="1" s="63"/>
    <row r="532" ht="14.25" customHeight="1" s="63"/>
    <row r="533" ht="14.25" customHeight="1" s="63"/>
    <row r="534" ht="14.25" customHeight="1" s="63"/>
    <row r="535" ht="14.25" customHeight="1" s="63"/>
    <row r="536" ht="14.25" customHeight="1" s="63"/>
    <row r="537" ht="14.25" customHeight="1" s="63"/>
    <row r="538" ht="14.25" customHeight="1" s="63"/>
    <row r="539" ht="14.25" customHeight="1" s="63"/>
    <row r="540" ht="14.25" customHeight="1" s="63"/>
    <row r="541" ht="14.25" customHeight="1" s="63"/>
    <row r="542" ht="14.25" customHeight="1" s="63"/>
    <row r="543" ht="14.25" customHeight="1" s="63"/>
    <row r="544" ht="14.25" customHeight="1" s="63"/>
    <row r="545" ht="14.25" customHeight="1" s="63"/>
    <row r="546" ht="14.25" customHeight="1" s="63"/>
    <row r="547" ht="14.25" customHeight="1" s="63"/>
    <row r="548" ht="14.25" customHeight="1" s="63"/>
    <row r="549" ht="14.25" customHeight="1" s="63"/>
    <row r="550" ht="14.25" customHeight="1" s="63"/>
    <row r="551" ht="14.25" customHeight="1" s="63"/>
    <row r="552" ht="14.25" customHeight="1" s="63"/>
    <row r="553" ht="14.25" customHeight="1" s="63"/>
    <row r="554" ht="14.25" customHeight="1" s="63"/>
    <row r="555" ht="14.25" customHeight="1" s="63"/>
    <row r="556" ht="14.25" customHeight="1" s="63"/>
    <row r="557" ht="14.25" customHeight="1" s="63"/>
    <row r="558" ht="14.25" customHeight="1" s="63"/>
    <row r="559" ht="14.25" customHeight="1" s="63"/>
    <row r="560" ht="14.25" customHeight="1" s="63"/>
    <row r="561" ht="14.25" customHeight="1" s="63"/>
    <row r="562" ht="14.25" customHeight="1" s="63"/>
    <row r="563" ht="14.25" customHeight="1" s="63"/>
    <row r="564" ht="14.25" customHeight="1" s="63"/>
    <row r="565" ht="14.25" customHeight="1" s="63"/>
    <row r="566" ht="14.25" customHeight="1" s="63"/>
    <row r="567" ht="14.25" customHeight="1" s="63"/>
    <row r="568" ht="14.25" customHeight="1" s="63"/>
    <row r="569" ht="14.25" customHeight="1" s="63"/>
    <row r="570" ht="14.25" customHeight="1" s="63"/>
    <row r="571" ht="14.25" customHeight="1" s="63"/>
    <row r="572" ht="14.25" customHeight="1" s="63"/>
    <row r="573" ht="14.25" customHeight="1" s="63"/>
    <row r="574" ht="14.25" customHeight="1" s="63"/>
    <row r="575" ht="14.25" customHeight="1" s="63"/>
    <row r="576" ht="14.25" customHeight="1" s="63"/>
    <row r="577" ht="14.25" customHeight="1" s="63"/>
    <row r="578" ht="14.25" customHeight="1" s="63"/>
    <row r="579" ht="14.25" customHeight="1" s="63"/>
    <row r="580" ht="14.25" customHeight="1" s="63"/>
    <row r="581" ht="14.25" customHeight="1" s="63"/>
    <row r="582" ht="14.25" customHeight="1" s="63"/>
    <row r="583" ht="14.25" customHeight="1" s="63"/>
    <row r="584" ht="14.25" customHeight="1" s="63"/>
    <row r="585" ht="14.25" customHeight="1" s="63"/>
    <row r="586" ht="14.25" customHeight="1" s="63"/>
    <row r="587" ht="14.25" customHeight="1" s="63"/>
    <row r="588" ht="14.25" customHeight="1" s="63"/>
    <row r="589" ht="14.25" customHeight="1" s="63"/>
    <row r="590" ht="14.25" customHeight="1" s="63"/>
    <row r="591" ht="14.25" customHeight="1" s="63"/>
    <row r="592" ht="14.25" customHeight="1" s="63"/>
    <row r="593" ht="14.25" customHeight="1" s="63"/>
    <row r="594" ht="14.25" customHeight="1" s="63"/>
    <row r="595" ht="14.25" customHeight="1" s="63"/>
    <row r="596" ht="14.25" customHeight="1" s="63"/>
    <row r="597" ht="14.25" customHeight="1" s="63"/>
    <row r="598" ht="14.25" customHeight="1" s="63"/>
    <row r="599" ht="14.25" customHeight="1" s="63"/>
    <row r="600" ht="14.25" customHeight="1" s="63"/>
    <row r="601" ht="14.25" customHeight="1" s="63"/>
    <row r="602" ht="14.25" customHeight="1" s="63"/>
    <row r="603" ht="14.25" customHeight="1" s="63"/>
    <row r="604" ht="14.25" customHeight="1" s="63"/>
    <row r="605" ht="14.25" customHeight="1" s="63"/>
    <row r="606" ht="14.25" customHeight="1" s="63"/>
    <row r="607" ht="14.25" customHeight="1" s="63"/>
    <row r="608" ht="14.25" customHeight="1" s="63"/>
    <row r="609" ht="14.25" customHeight="1" s="63"/>
    <row r="610" ht="14.25" customHeight="1" s="63"/>
    <row r="611" ht="14.25" customHeight="1" s="63"/>
    <row r="612" ht="14.25" customHeight="1" s="63"/>
    <row r="613" ht="14.25" customHeight="1" s="63"/>
    <row r="614" ht="14.25" customHeight="1" s="63"/>
    <row r="615" ht="14.25" customHeight="1" s="63"/>
    <row r="616" ht="14.25" customHeight="1" s="63"/>
    <row r="617" ht="14.25" customHeight="1" s="63"/>
    <row r="618" ht="14.25" customHeight="1" s="63"/>
    <row r="619" ht="14.25" customHeight="1" s="63"/>
    <row r="620" ht="14.25" customHeight="1" s="63"/>
    <row r="621" ht="14.25" customHeight="1" s="63"/>
    <row r="622" ht="14.25" customHeight="1" s="63"/>
    <row r="623" ht="14.25" customHeight="1" s="63"/>
    <row r="624" ht="14.25" customHeight="1" s="63"/>
    <row r="625" ht="14.25" customHeight="1" s="63"/>
    <row r="626" ht="14.25" customHeight="1" s="63"/>
    <row r="627" ht="14.25" customHeight="1" s="63"/>
    <row r="628" ht="14.25" customHeight="1" s="63"/>
    <row r="629" ht="14.25" customHeight="1" s="63"/>
    <row r="630" ht="14.25" customHeight="1" s="63"/>
    <row r="631" ht="14.25" customHeight="1" s="63"/>
    <row r="632" ht="14.25" customHeight="1" s="63"/>
    <row r="633" ht="14.25" customHeight="1" s="63"/>
    <row r="634" ht="14.25" customHeight="1" s="63"/>
    <row r="635" ht="14.25" customHeight="1" s="63"/>
    <row r="636" ht="14.25" customHeight="1" s="63"/>
    <row r="637" ht="14.25" customHeight="1" s="63"/>
    <row r="638" ht="14.25" customHeight="1" s="63"/>
    <row r="639" ht="14.25" customHeight="1" s="63"/>
    <row r="640" ht="14.25" customHeight="1" s="63"/>
    <row r="641" ht="14.25" customHeight="1" s="63"/>
    <row r="642" ht="14.25" customHeight="1" s="63"/>
    <row r="643" ht="14.25" customHeight="1" s="63"/>
    <row r="644" ht="14.25" customHeight="1" s="63"/>
    <row r="645" ht="14.25" customHeight="1" s="63"/>
    <row r="646" ht="14.25" customHeight="1" s="63"/>
    <row r="647" ht="14.25" customHeight="1" s="63"/>
    <row r="648" ht="14.25" customHeight="1" s="63"/>
    <row r="649" ht="14.25" customHeight="1" s="63"/>
    <row r="650" ht="14.25" customHeight="1" s="63"/>
    <row r="651" ht="14.25" customHeight="1" s="63"/>
    <row r="652" ht="14.25" customHeight="1" s="63"/>
    <row r="653" ht="14.25" customHeight="1" s="63"/>
    <row r="654" ht="14.25" customHeight="1" s="63"/>
    <row r="655" ht="14.25" customHeight="1" s="63"/>
    <row r="656" ht="14.25" customHeight="1" s="63"/>
    <row r="657" ht="14.25" customHeight="1" s="63"/>
    <row r="658" ht="14.25" customHeight="1" s="63"/>
    <row r="659" ht="14.25" customHeight="1" s="63"/>
    <row r="660" ht="14.25" customHeight="1" s="63"/>
    <row r="661" ht="14.25" customHeight="1" s="63"/>
    <row r="662" ht="14.25" customHeight="1" s="63"/>
    <row r="663" ht="14.25" customHeight="1" s="63"/>
    <row r="664" ht="14.25" customHeight="1" s="63"/>
    <row r="665" ht="14.25" customHeight="1" s="63"/>
    <row r="666" ht="14.25" customHeight="1" s="63"/>
    <row r="667" ht="14.25" customHeight="1" s="63"/>
    <row r="668" ht="14.25" customHeight="1" s="63"/>
    <row r="669" ht="14.25" customHeight="1" s="63"/>
    <row r="670" ht="14.25" customHeight="1" s="63"/>
    <row r="671" ht="14.25" customHeight="1" s="63"/>
    <row r="672" ht="14.25" customHeight="1" s="63"/>
    <row r="673" ht="14.25" customHeight="1" s="63"/>
    <row r="674" ht="14.25" customHeight="1" s="63"/>
    <row r="675" ht="14.25" customHeight="1" s="63"/>
    <row r="676" ht="14.25" customHeight="1" s="63"/>
    <row r="677" ht="14.25" customHeight="1" s="63"/>
    <row r="678" ht="14.25" customHeight="1" s="63"/>
    <row r="679" ht="14.25" customHeight="1" s="63"/>
    <row r="680" ht="14.25" customHeight="1" s="63"/>
    <row r="681" ht="14.25" customHeight="1" s="63"/>
    <row r="682" ht="14.25" customHeight="1" s="63"/>
    <row r="683" ht="14.25" customHeight="1" s="63"/>
    <row r="684" ht="14.25" customHeight="1" s="63"/>
    <row r="685" ht="14.25" customHeight="1" s="63"/>
    <row r="686" ht="14.25" customHeight="1" s="63"/>
    <row r="687" ht="14.25" customHeight="1" s="63"/>
    <row r="688" ht="14.25" customHeight="1" s="63"/>
    <row r="689" ht="14.25" customHeight="1" s="63"/>
    <row r="690" ht="14.25" customHeight="1" s="63"/>
    <row r="691" ht="14.25" customHeight="1" s="63"/>
    <row r="692" ht="14.25" customHeight="1" s="63"/>
    <row r="693" ht="14.25" customHeight="1" s="63"/>
    <row r="694" ht="14.25" customHeight="1" s="63"/>
    <row r="695" ht="14.25" customHeight="1" s="63"/>
    <row r="696" ht="14.25" customHeight="1" s="63"/>
    <row r="697" ht="14.25" customHeight="1" s="63"/>
    <row r="698" ht="14.25" customHeight="1" s="63"/>
    <row r="699" ht="14.25" customHeight="1" s="63"/>
    <row r="700" ht="14.25" customHeight="1" s="63"/>
    <row r="701" ht="14.25" customHeight="1" s="63"/>
    <row r="702" ht="14.25" customHeight="1" s="63"/>
    <row r="703" ht="14.25" customHeight="1" s="63"/>
    <row r="704" ht="14.25" customHeight="1" s="63"/>
    <row r="705" ht="14.25" customHeight="1" s="63"/>
    <row r="706" ht="14.25" customHeight="1" s="63"/>
    <row r="707" ht="14.25" customHeight="1" s="63"/>
    <row r="708" ht="14.25" customHeight="1" s="63"/>
    <row r="709" ht="14.25" customHeight="1" s="63"/>
    <row r="710" ht="14.25" customHeight="1" s="63"/>
    <row r="711" ht="14.25" customHeight="1" s="63"/>
    <row r="712" ht="14.25" customHeight="1" s="63"/>
    <row r="713" ht="14.25" customHeight="1" s="63"/>
    <row r="714" ht="14.25" customHeight="1" s="63"/>
    <row r="715" ht="14.25" customHeight="1" s="63"/>
    <row r="716" ht="14.25" customHeight="1" s="63"/>
    <row r="717" ht="14.25" customHeight="1" s="63"/>
    <row r="718" ht="14.25" customHeight="1" s="63"/>
    <row r="719" ht="14.25" customHeight="1" s="63"/>
    <row r="720" ht="14.25" customHeight="1" s="63"/>
    <row r="721" ht="14.25" customHeight="1" s="63"/>
    <row r="722" ht="14.25" customHeight="1" s="63"/>
    <row r="723" ht="14.25" customHeight="1" s="63"/>
    <row r="724" ht="14.25" customHeight="1" s="63"/>
    <row r="725" ht="14.25" customHeight="1" s="63"/>
    <row r="726" ht="14.25" customHeight="1" s="63"/>
    <row r="727" ht="14.25" customHeight="1" s="63"/>
    <row r="728" ht="14.25" customHeight="1" s="63"/>
    <row r="729" ht="14.25" customHeight="1" s="63"/>
    <row r="730" ht="14.25" customHeight="1" s="63"/>
    <row r="731" ht="14.25" customHeight="1" s="63"/>
    <row r="732" ht="14.25" customHeight="1" s="63"/>
    <row r="733" ht="14.25" customHeight="1" s="63"/>
    <row r="734" ht="14.25" customHeight="1" s="63"/>
    <row r="735" ht="14.25" customHeight="1" s="63"/>
    <row r="736" ht="14.25" customHeight="1" s="63"/>
    <row r="737" ht="14.25" customHeight="1" s="63"/>
    <row r="738" ht="14.25" customHeight="1" s="63"/>
    <row r="739" ht="14.25" customHeight="1" s="63"/>
    <row r="740" ht="14.25" customHeight="1" s="63"/>
    <row r="741" ht="14.25" customHeight="1" s="63"/>
    <row r="742" ht="14.25" customHeight="1" s="63"/>
    <row r="743" ht="14.25" customHeight="1" s="63"/>
    <row r="744" ht="14.25" customHeight="1" s="63"/>
    <row r="745" ht="14.25" customHeight="1" s="63"/>
    <row r="746" ht="14.25" customHeight="1" s="63"/>
    <row r="747" ht="14.25" customHeight="1" s="63"/>
    <row r="748" ht="14.25" customHeight="1" s="63"/>
    <row r="749" ht="14.25" customHeight="1" s="63"/>
    <row r="750" ht="14.25" customHeight="1" s="63"/>
    <row r="751" ht="14.25" customHeight="1" s="63"/>
    <row r="752" ht="14.25" customHeight="1" s="63"/>
    <row r="753" ht="14.25" customHeight="1" s="63"/>
    <row r="754" ht="14.25" customHeight="1" s="63"/>
    <row r="755" ht="14.25" customHeight="1" s="63"/>
    <row r="756" ht="14.25" customHeight="1" s="63"/>
    <row r="757" ht="14.25" customHeight="1" s="63"/>
    <row r="758" ht="14.25" customHeight="1" s="63"/>
    <row r="759" ht="14.25" customHeight="1" s="63"/>
    <row r="760" ht="14.25" customHeight="1" s="63"/>
    <row r="761" ht="14.25" customHeight="1" s="63"/>
    <row r="762" ht="14.25" customHeight="1" s="63"/>
    <row r="763" ht="14.25" customHeight="1" s="63"/>
    <row r="764" ht="14.25" customHeight="1" s="63"/>
    <row r="765" ht="14.25" customHeight="1" s="63"/>
    <row r="766" ht="14.25" customHeight="1" s="63"/>
    <row r="767" ht="14.25" customHeight="1" s="63"/>
    <row r="768" ht="14.25" customHeight="1" s="63"/>
    <row r="769" ht="14.25" customHeight="1" s="63"/>
    <row r="770" ht="14.25" customHeight="1" s="63"/>
    <row r="771" ht="14.25" customHeight="1" s="63"/>
    <row r="772" ht="14.25" customHeight="1" s="63"/>
    <row r="773" ht="14.25" customHeight="1" s="63"/>
    <row r="774" ht="14.25" customHeight="1" s="63"/>
    <row r="775" ht="14.25" customHeight="1" s="63"/>
    <row r="776" ht="14.25" customHeight="1" s="63"/>
    <row r="777" ht="14.25" customHeight="1" s="63"/>
    <row r="778" ht="14.25" customHeight="1" s="63"/>
    <row r="779" ht="14.25" customHeight="1" s="63"/>
    <row r="780" ht="14.25" customHeight="1" s="63"/>
    <row r="781" ht="14.25" customHeight="1" s="63"/>
    <row r="782" ht="14.25" customHeight="1" s="63"/>
    <row r="783" ht="14.25" customHeight="1" s="63"/>
    <row r="784" ht="14.25" customHeight="1" s="63"/>
    <row r="785" ht="14.25" customHeight="1" s="63"/>
    <row r="786" ht="14.25" customHeight="1" s="63"/>
    <row r="787" ht="14.25" customHeight="1" s="63"/>
    <row r="788" ht="14.25" customHeight="1" s="63"/>
    <row r="789" ht="14.25" customHeight="1" s="63"/>
    <row r="790" ht="14.25" customHeight="1" s="63"/>
    <row r="791" ht="14.25" customHeight="1" s="63"/>
    <row r="792" ht="14.25" customHeight="1" s="63"/>
    <row r="793" ht="14.25" customHeight="1" s="63"/>
    <row r="794" ht="14.25" customHeight="1" s="63"/>
    <row r="795" ht="14.25" customHeight="1" s="63"/>
    <row r="796" ht="14.25" customHeight="1" s="63"/>
    <row r="797" ht="14.25" customHeight="1" s="63"/>
    <row r="798" ht="14.25" customHeight="1" s="63"/>
    <row r="799" ht="14.25" customHeight="1" s="63"/>
    <row r="800" ht="14.25" customHeight="1" s="63"/>
    <row r="801" ht="14.25" customHeight="1" s="63"/>
    <row r="802" ht="14.25" customHeight="1" s="63"/>
    <row r="803" ht="14.25" customHeight="1" s="63"/>
    <row r="804" ht="14.25" customHeight="1" s="63"/>
    <row r="805" ht="14.25" customHeight="1" s="63"/>
    <row r="806" ht="14.25" customHeight="1" s="63"/>
    <row r="807" ht="14.25" customHeight="1" s="63"/>
    <row r="808" ht="14.25" customHeight="1" s="63"/>
    <row r="809" ht="14.25" customHeight="1" s="63"/>
    <row r="810" ht="14.25" customHeight="1" s="63"/>
    <row r="811" ht="14.25" customHeight="1" s="63"/>
    <row r="812" ht="14.25" customHeight="1" s="63"/>
    <row r="813" ht="14.25" customHeight="1" s="63"/>
    <row r="814" ht="14.25" customHeight="1" s="63"/>
    <row r="815" ht="14.25" customHeight="1" s="63"/>
    <row r="816" ht="14.25" customHeight="1" s="63"/>
    <row r="817" ht="14.25" customHeight="1" s="63"/>
    <row r="818" ht="14.25" customHeight="1" s="63"/>
    <row r="819" ht="14.25" customHeight="1" s="63"/>
    <row r="820" ht="14.25" customHeight="1" s="63"/>
    <row r="821" ht="14.25" customHeight="1" s="63"/>
    <row r="822" ht="14.25" customHeight="1" s="63"/>
    <row r="823" ht="14.25" customHeight="1" s="63"/>
    <row r="824" ht="14.25" customHeight="1" s="63"/>
    <row r="825" ht="14.25" customHeight="1" s="63"/>
    <row r="826" ht="14.25" customHeight="1" s="63"/>
    <row r="827" ht="14.25" customHeight="1" s="63"/>
    <row r="828" ht="14.25" customHeight="1" s="63"/>
    <row r="829" ht="14.25" customHeight="1" s="63"/>
    <row r="830" ht="14.25" customHeight="1" s="63"/>
    <row r="831" ht="14.25" customHeight="1" s="63"/>
    <row r="832" ht="14.25" customHeight="1" s="63"/>
    <row r="833" ht="14.25" customHeight="1" s="63"/>
    <row r="834" ht="14.25" customHeight="1" s="63"/>
    <row r="835" ht="14.25" customHeight="1" s="63"/>
    <row r="836" ht="14.25" customHeight="1" s="63"/>
    <row r="837" ht="14.25" customHeight="1" s="63"/>
    <row r="838" ht="14.25" customHeight="1" s="63"/>
    <row r="839" ht="14.25" customHeight="1" s="63"/>
    <row r="840" ht="14.25" customHeight="1" s="63"/>
    <row r="841" ht="14.25" customHeight="1" s="63"/>
    <row r="842" ht="14.25" customHeight="1" s="63"/>
    <row r="843" ht="14.25" customHeight="1" s="63"/>
    <row r="844" ht="14.25" customHeight="1" s="63"/>
    <row r="845" ht="14.25" customHeight="1" s="63"/>
    <row r="846" ht="14.25" customHeight="1" s="63"/>
    <row r="847" ht="14.25" customHeight="1" s="63"/>
    <row r="848" ht="14.25" customHeight="1" s="63"/>
    <row r="849" ht="14.25" customHeight="1" s="63"/>
    <row r="850" ht="14.25" customHeight="1" s="63"/>
    <row r="851" ht="14.25" customHeight="1" s="63"/>
    <row r="852" ht="14.25" customHeight="1" s="63"/>
    <row r="853" ht="14.25" customHeight="1" s="63"/>
    <row r="854" ht="14.25" customHeight="1" s="63"/>
    <row r="855" ht="14.25" customHeight="1" s="63"/>
    <row r="856" ht="14.25" customHeight="1" s="63"/>
    <row r="857" ht="14.25" customHeight="1" s="63"/>
    <row r="858" ht="14.25" customHeight="1" s="63"/>
    <row r="859" ht="14.25" customHeight="1" s="63"/>
    <row r="860" ht="14.25" customHeight="1" s="63"/>
    <row r="861" ht="14.25" customHeight="1" s="63"/>
    <row r="862" ht="14.25" customHeight="1" s="63"/>
    <row r="863" ht="14.25" customHeight="1" s="63"/>
    <row r="864" ht="14.25" customHeight="1" s="63"/>
    <row r="865" ht="14.25" customHeight="1" s="63"/>
    <row r="866" ht="14.25" customHeight="1" s="63"/>
    <row r="867" ht="14.25" customHeight="1" s="63"/>
    <row r="868" ht="14.25" customHeight="1" s="63"/>
    <row r="869" ht="14.25" customHeight="1" s="63"/>
    <row r="870" ht="14.25" customHeight="1" s="63"/>
    <row r="871" ht="14.25" customHeight="1" s="63"/>
    <row r="872" ht="14.25" customHeight="1" s="63"/>
    <row r="873" ht="14.25" customHeight="1" s="63"/>
    <row r="874" ht="14.25" customHeight="1" s="63"/>
    <row r="875" ht="14.25" customHeight="1" s="63"/>
    <row r="876" ht="14.25" customHeight="1" s="63"/>
    <row r="877" ht="14.25" customHeight="1" s="63"/>
    <row r="878" ht="14.25" customHeight="1" s="63"/>
    <row r="879" ht="14.25" customHeight="1" s="63"/>
    <row r="880" ht="14.25" customHeight="1" s="63"/>
    <row r="881" ht="14.25" customHeight="1" s="63"/>
    <row r="882" ht="14.25" customHeight="1" s="63"/>
    <row r="883" ht="14.25" customHeight="1" s="63"/>
    <row r="884" ht="14.25" customHeight="1" s="63"/>
    <row r="885" ht="14.25" customHeight="1" s="63"/>
    <row r="886" ht="14.25" customHeight="1" s="63"/>
    <row r="887" ht="14.25" customHeight="1" s="63"/>
    <row r="888" ht="14.25" customHeight="1" s="63"/>
    <row r="889" ht="14.25" customHeight="1" s="63"/>
    <row r="890" ht="14.25" customHeight="1" s="63"/>
    <row r="891" ht="14.25" customHeight="1" s="63"/>
    <row r="892" ht="14.25" customHeight="1" s="63"/>
    <row r="893" ht="14.25" customHeight="1" s="63"/>
    <row r="894" ht="14.25" customHeight="1" s="63"/>
    <row r="895" ht="14.25" customHeight="1" s="63"/>
    <row r="896" ht="14.25" customHeight="1" s="63"/>
    <row r="897" ht="14.25" customHeight="1" s="63"/>
    <row r="898" ht="14.25" customHeight="1" s="63"/>
    <row r="899" ht="14.25" customHeight="1" s="63"/>
    <row r="900" ht="14.25" customHeight="1" s="63"/>
    <row r="901" ht="14.25" customHeight="1" s="63"/>
    <row r="902" ht="14.25" customHeight="1" s="63"/>
    <row r="903" ht="14.25" customHeight="1" s="63"/>
    <row r="904" ht="14.25" customHeight="1" s="63"/>
    <row r="905" ht="14.25" customHeight="1" s="63"/>
    <row r="906" ht="14.25" customHeight="1" s="63"/>
    <row r="907" ht="14.25" customHeight="1" s="63"/>
    <row r="908" ht="14.25" customHeight="1" s="63"/>
    <row r="909" ht="14.25" customHeight="1" s="63"/>
    <row r="910" ht="14.25" customHeight="1" s="63"/>
    <row r="911" ht="14.25" customHeight="1" s="63"/>
    <row r="912" ht="14.25" customHeight="1" s="63"/>
    <row r="913" ht="14.25" customHeight="1" s="63"/>
    <row r="914" ht="14.25" customHeight="1" s="63"/>
    <row r="915" ht="14.25" customHeight="1" s="63"/>
    <row r="916" ht="14.25" customHeight="1" s="63"/>
    <row r="917" ht="14.25" customHeight="1" s="63"/>
    <row r="918" ht="14.25" customHeight="1" s="63"/>
    <row r="919" ht="14.25" customHeight="1" s="63"/>
    <row r="920" ht="14.25" customHeight="1" s="63"/>
    <row r="921" ht="14.25" customHeight="1" s="63"/>
    <row r="922" ht="14.25" customHeight="1" s="63"/>
    <row r="923" ht="14.25" customHeight="1" s="63"/>
    <row r="924" ht="14.25" customHeight="1" s="63"/>
    <row r="925" ht="14.25" customHeight="1" s="63"/>
    <row r="926" ht="14.25" customHeight="1" s="63"/>
    <row r="927" ht="14.25" customHeight="1" s="63"/>
    <row r="928" ht="14.25" customHeight="1" s="63"/>
    <row r="929" ht="14.25" customHeight="1" s="63"/>
    <row r="930" ht="14.25" customHeight="1" s="63"/>
    <row r="931" ht="14.25" customHeight="1" s="63"/>
    <row r="932" ht="14.25" customHeight="1" s="63"/>
    <row r="933" ht="14.25" customHeight="1" s="63"/>
    <row r="934" ht="14.25" customHeight="1" s="63"/>
    <row r="935" ht="14.25" customHeight="1" s="63"/>
    <row r="936" ht="14.25" customHeight="1" s="63"/>
    <row r="937" ht="14.25" customHeight="1" s="63"/>
    <row r="938" ht="14.25" customHeight="1" s="63"/>
    <row r="939" ht="14.25" customHeight="1" s="63"/>
    <row r="940" ht="14.25" customHeight="1" s="63"/>
    <row r="941" ht="14.25" customHeight="1" s="63"/>
    <row r="942" ht="14.25" customHeight="1" s="63"/>
    <row r="943" ht="14.25" customHeight="1" s="63"/>
    <row r="944" ht="14.25" customHeight="1" s="63"/>
    <row r="945" ht="14.25" customHeight="1" s="63"/>
    <row r="946" ht="14.25" customHeight="1" s="63"/>
    <row r="947" ht="14.25" customHeight="1" s="63"/>
    <row r="948" ht="14.25" customHeight="1" s="63"/>
    <row r="949" ht="14.25" customHeight="1" s="63"/>
    <row r="950" ht="14.25" customHeight="1" s="63"/>
    <row r="951" ht="14.25" customHeight="1" s="63"/>
    <row r="952" ht="14.25" customHeight="1" s="63"/>
    <row r="953" ht="14.25" customHeight="1" s="63"/>
    <row r="954" ht="14.25" customHeight="1" s="63"/>
    <row r="955" ht="14.25" customHeight="1" s="63"/>
    <row r="956" ht="14.25" customHeight="1" s="63"/>
    <row r="957" ht="14.25" customHeight="1" s="63"/>
    <row r="958" ht="14.25" customHeight="1" s="63"/>
    <row r="959" ht="14.25" customHeight="1" s="63"/>
    <row r="960" ht="14.25" customHeight="1" s="63"/>
    <row r="961" ht="14.25" customHeight="1" s="63"/>
    <row r="962" ht="14.25" customHeight="1" s="63"/>
    <row r="963" ht="14.25" customHeight="1" s="63"/>
    <row r="964" ht="14.25" customHeight="1" s="63"/>
    <row r="965" ht="14.25" customHeight="1" s="63"/>
    <row r="966" ht="14.25" customHeight="1" s="63"/>
    <row r="967" ht="14.25" customHeight="1" s="63"/>
    <row r="968" ht="14.25" customHeight="1" s="63"/>
    <row r="969" ht="14.25" customHeight="1" s="63"/>
    <row r="970" ht="14.25" customHeight="1" s="63"/>
    <row r="971" ht="14.25" customHeight="1" s="63"/>
    <row r="972" ht="14.25" customHeight="1" s="63"/>
    <row r="973" ht="14.25" customHeight="1" s="63"/>
    <row r="974" ht="14.25" customHeight="1" s="63"/>
    <row r="975" ht="14.25" customHeight="1" s="63"/>
    <row r="976" ht="14.25" customHeight="1" s="63"/>
    <row r="977" ht="14.25" customHeight="1" s="63"/>
    <row r="978" ht="14.25" customHeight="1" s="63"/>
    <row r="979" ht="14.25" customHeight="1" s="63"/>
    <row r="980" ht="14.25" customHeight="1" s="63"/>
    <row r="981" ht="14.25" customHeight="1" s="63"/>
    <row r="982" ht="14.25" customHeight="1" s="63"/>
    <row r="983" ht="14.25" customHeight="1" s="63"/>
    <row r="984" ht="14.25" customHeight="1" s="63"/>
    <row r="985" ht="14.25" customHeight="1" s="63"/>
    <row r="986" ht="14.25" customHeight="1" s="63"/>
    <row r="987" ht="14.25" customHeight="1" s="63"/>
    <row r="988" ht="14.25" customHeight="1" s="63"/>
    <row r="989" ht="14.25" customHeight="1" s="63"/>
    <row r="990" ht="14.25" customHeight="1" s="63"/>
    <row r="991" ht="14.25" customHeight="1" s="63"/>
    <row r="992" ht="14.25" customHeight="1" s="63"/>
    <row r="993" ht="14.25" customHeight="1" s="63"/>
    <row r="994" ht="14.25" customHeight="1" s="63"/>
    <row r="995" ht="14.25" customHeight="1" s="63"/>
    <row r="996" ht="14.25" customHeight="1" s="63"/>
    <row r="997" ht="14.25" customHeight="1" s="63"/>
    <row r="998" ht="14.25" customHeight="1" s="63"/>
    <row r="999" ht="14.25" customHeight="1" s="63"/>
    <row r="1000" ht="14.25" customHeight="1" s="6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63" min="1" max="1"/>
    <col width="3" customWidth="1" style="63" min="2" max="2"/>
    <col width="32" customWidth="1" style="63" min="3" max="3"/>
    <col width="8.710000000000001" customWidth="1" style="63" min="4" max="4"/>
    <col width="50" customWidth="1" style="63" min="5" max="5"/>
    <col width="8.710000000000001" customWidth="1" style="63" min="6" max="26"/>
  </cols>
  <sheetData>
    <row r="1" ht="14.25" customHeight="1" s="63">
      <c r="A1" s="10" t="inlineStr">
        <is>
          <t>Catégories Revenus</t>
        </is>
      </c>
      <c r="C1" s="10" t="inlineStr">
        <is>
          <t>Catégories Dépenses</t>
        </is>
      </c>
      <c r="E1" s="61" t="inlineStr">
        <is>
          <t>Astuce</t>
        </is>
      </c>
    </row>
    <row r="2" ht="14.25" customHeight="1" s="63">
      <c r="A2" s="62" t="inlineStr">
        <is>
          <t>Téléprospection</t>
        </is>
      </c>
      <c r="C2" s="62" t="inlineStr">
        <is>
          <t>Salaires Madagascar</t>
        </is>
      </c>
      <c r="E2" s="35" t="inlineStr">
        <is>
          <t>Tu peux ajouter / renommer les catégories.</t>
        </is>
      </c>
    </row>
    <row r="3" ht="14.25" customHeight="1" s="63">
      <c r="A3" s="62" t="inlineStr">
        <is>
          <t>Automation (N8N/Make)</t>
        </is>
      </c>
      <c r="C3" s="62" t="inlineStr">
        <is>
          <t>Outils SaaS</t>
        </is>
      </c>
      <c r="E3" s="35" t="inlineStr">
        <is>
          <t>Elles apparaîtront dans les menus déroulants</t>
        </is>
      </c>
    </row>
    <row r="4" ht="14.25" customHeight="1" s="63">
      <c r="A4" s="62" t="inlineStr">
        <is>
          <t>Agent IA custom</t>
        </is>
      </c>
      <c r="C4" s="62" t="inlineStr">
        <is>
          <t>Marketing / Pub</t>
        </is>
      </c>
      <c r="E4" s="35" t="inlineStr">
        <is>
          <t>des onglets Revenus et Dépenses.</t>
        </is>
      </c>
    </row>
    <row r="5" ht="14.25" customHeight="1" s="63">
      <c r="A5" s="62" t="inlineStr">
        <is>
          <t>Abonnement Unimatos</t>
        </is>
      </c>
      <c r="C5" s="62" t="inlineStr">
        <is>
          <t>Comptable / Juridique</t>
        </is>
      </c>
    </row>
    <row r="6" ht="14.25" customHeight="1" s="63">
      <c r="A6" s="62" t="inlineStr">
        <is>
          <t>Audit / Conseil</t>
        </is>
      </c>
      <c r="C6" s="62" t="inlineStr">
        <is>
          <t>Charges sociales (URSSAF)</t>
        </is>
      </c>
    </row>
    <row r="7" ht="14.25" customHeight="1" s="63">
      <c r="A7" s="62" t="inlineStr">
        <is>
          <t>Setup / One-shot</t>
        </is>
      </c>
      <c r="C7" s="62" t="inlineStr">
        <is>
          <t>Frais bancaires</t>
        </is>
      </c>
    </row>
    <row r="8" ht="14.25" customHeight="1" s="63">
      <c r="A8" s="62" t="inlineStr">
        <is>
          <t>Formation</t>
        </is>
      </c>
      <c r="C8" s="62" t="inlineStr">
        <is>
          <t>Sous-traitance</t>
        </is>
      </c>
    </row>
    <row r="9" ht="14.25" customHeight="1" s="63">
      <c r="A9" s="62" t="inlineStr">
        <is>
          <t>Autre</t>
        </is>
      </c>
      <c r="C9" s="62" t="inlineStr">
        <is>
          <t>Matériel / Infra</t>
        </is>
      </c>
    </row>
    <row r="10" ht="14.25" customHeight="1" s="63">
      <c r="C10" s="62" t="inlineStr">
        <is>
          <t>Déplacements</t>
        </is>
      </c>
    </row>
    <row r="11" ht="14.25" customHeight="1" s="63">
      <c r="C11" s="62" t="inlineStr">
        <is>
          <t>Autre</t>
        </is>
      </c>
    </row>
    <row r="12" ht="14.25" customHeight="1" s="63"/>
    <row r="13" ht="14.25" customHeight="1" s="63"/>
    <row r="14" ht="14.25" customHeight="1" s="63"/>
    <row r="15" ht="14.25" customHeight="1" s="63"/>
    <row r="16" ht="14.25" customHeight="1" s="63"/>
    <row r="17" ht="14.25" customHeight="1" s="63"/>
    <row r="18" ht="14.25" customHeight="1" s="63"/>
    <row r="19" ht="14.25" customHeight="1" s="63"/>
    <row r="20" ht="14.25" customHeight="1" s="63"/>
    <row r="21" ht="14.25" customHeight="1" s="63"/>
    <row r="22" ht="14.25" customHeight="1" s="63"/>
    <row r="23" ht="14.25" customHeight="1" s="63"/>
    <row r="24" ht="14.25" customHeight="1" s="63"/>
    <row r="25" ht="14.25" customHeight="1" s="63"/>
    <row r="26" ht="14.25" customHeight="1" s="63"/>
    <row r="27" ht="14.25" customHeight="1" s="63"/>
    <row r="28" ht="14.25" customHeight="1" s="63"/>
    <row r="29" ht="14.25" customHeight="1" s="63"/>
    <row r="30" ht="14.25" customHeight="1" s="63"/>
    <row r="31" ht="14.25" customHeight="1" s="63"/>
    <row r="32" ht="14.25" customHeight="1" s="63"/>
    <row r="33" ht="14.25" customHeight="1" s="63"/>
    <row r="34" ht="14.25" customHeight="1" s="63"/>
    <row r="35" ht="14.25" customHeight="1" s="63"/>
    <row r="36" ht="14.25" customHeight="1" s="63"/>
    <row r="37" ht="14.25" customHeight="1" s="63"/>
    <row r="38" ht="14.25" customHeight="1" s="63"/>
    <row r="39" ht="14.25" customHeight="1" s="63"/>
    <row r="40" ht="14.25" customHeight="1" s="63"/>
    <row r="41" ht="14.25" customHeight="1" s="63"/>
    <row r="42" ht="14.25" customHeight="1" s="63"/>
    <row r="43" ht="14.25" customHeight="1" s="63"/>
    <row r="44" ht="14.25" customHeight="1" s="63"/>
    <row r="45" ht="14.25" customHeight="1" s="63"/>
    <row r="46" ht="14.25" customHeight="1" s="63"/>
    <row r="47" ht="14.25" customHeight="1" s="63"/>
    <row r="48" ht="14.25" customHeight="1" s="63"/>
    <row r="49" ht="14.25" customHeight="1" s="63"/>
    <row r="50" ht="14.25" customHeight="1" s="63"/>
    <row r="51" ht="14.25" customHeight="1" s="63"/>
    <row r="52" ht="14.25" customHeight="1" s="63"/>
    <row r="53" ht="14.25" customHeight="1" s="63"/>
    <row r="54" ht="14.25" customHeight="1" s="63"/>
    <row r="55" ht="14.25" customHeight="1" s="63"/>
    <row r="56" ht="14.25" customHeight="1" s="63"/>
    <row r="57" ht="14.25" customHeight="1" s="63"/>
    <row r="58" ht="14.25" customHeight="1" s="63"/>
    <row r="59" ht="14.25" customHeight="1" s="63"/>
    <row r="60" ht="14.25" customHeight="1" s="63"/>
    <row r="61" ht="14.25" customHeight="1" s="63"/>
    <row r="62" ht="14.25" customHeight="1" s="63"/>
    <row r="63" ht="14.25" customHeight="1" s="63"/>
    <row r="64" ht="14.25" customHeight="1" s="63"/>
    <row r="65" ht="14.25" customHeight="1" s="63"/>
    <row r="66" ht="14.25" customHeight="1" s="63"/>
    <row r="67" ht="14.25" customHeight="1" s="63"/>
    <row r="68" ht="14.25" customHeight="1" s="63"/>
    <row r="69" ht="14.25" customHeight="1" s="63"/>
    <row r="70" ht="14.25" customHeight="1" s="63"/>
    <row r="71" ht="14.25" customHeight="1" s="63"/>
    <row r="72" ht="14.25" customHeight="1" s="63"/>
    <row r="73" ht="14.25" customHeight="1" s="63"/>
    <row r="74" ht="14.25" customHeight="1" s="63"/>
    <row r="75" ht="14.25" customHeight="1" s="63"/>
    <row r="76" ht="14.25" customHeight="1" s="63"/>
    <row r="77" ht="14.25" customHeight="1" s="63"/>
    <row r="78" ht="14.25" customHeight="1" s="63"/>
    <row r="79" ht="14.25" customHeight="1" s="63"/>
    <row r="80" ht="14.25" customHeight="1" s="63"/>
    <row r="81" ht="14.25" customHeight="1" s="63"/>
    <row r="82" ht="14.25" customHeight="1" s="63"/>
    <row r="83" ht="14.25" customHeight="1" s="63"/>
    <row r="84" ht="14.25" customHeight="1" s="63"/>
    <row r="85" ht="14.25" customHeight="1" s="63"/>
    <row r="86" ht="14.25" customHeight="1" s="63"/>
    <row r="87" ht="14.25" customHeight="1" s="63"/>
    <row r="88" ht="14.25" customHeight="1" s="63"/>
    <row r="89" ht="14.25" customHeight="1" s="63"/>
    <row r="90" ht="14.25" customHeight="1" s="63"/>
    <row r="91" ht="14.25" customHeight="1" s="63"/>
    <row r="92" ht="14.25" customHeight="1" s="63"/>
    <row r="93" ht="14.25" customHeight="1" s="63"/>
    <row r="94" ht="14.25" customHeight="1" s="63"/>
    <row r="95" ht="14.25" customHeight="1" s="63"/>
    <row r="96" ht="14.25" customHeight="1" s="63"/>
    <row r="97" ht="14.25" customHeight="1" s="63"/>
    <row r="98" ht="14.25" customHeight="1" s="63"/>
    <row r="99" ht="14.25" customHeight="1" s="63"/>
    <row r="100" ht="14.25" customHeight="1" s="63"/>
    <row r="101" ht="14.25" customHeight="1" s="63"/>
    <row r="102" ht="14.25" customHeight="1" s="63"/>
    <row r="103" ht="14.25" customHeight="1" s="63"/>
    <row r="104" ht="14.25" customHeight="1" s="63"/>
    <row r="105" ht="14.25" customHeight="1" s="63"/>
    <row r="106" ht="14.25" customHeight="1" s="63"/>
    <row r="107" ht="14.25" customHeight="1" s="63"/>
    <row r="108" ht="14.25" customHeight="1" s="63"/>
    <row r="109" ht="14.25" customHeight="1" s="63"/>
    <row r="110" ht="14.25" customHeight="1" s="63"/>
    <row r="111" ht="14.25" customHeight="1" s="63"/>
    <row r="112" ht="14.25" customHeight="1" s="63"/>
    <row r="113" ht="14.25" customHeight="1" s="63"/>
    <row r="114" ht="14.25" customHeight="1" s="63"/>
    <row r="115" ht="14.25" customHeight="1" s="63"/>
    <row r="116" ht="14.25" customHeight="1" s="63"/>
    <row r="117" ht="14.25" customHeight="1" s="63"/>
    <row r="118" ht="14.25" customHeight="1" s="63"/>
    <row r="119" ht="14.25" customHeight="1" s="63"/>
    <row r="120" ht="14.25" customHeight="1" s="63"/>
    <row r="121" ht="14.25" customHeight="1" s="63"/>
    <row r="122" ht="14.25" customHeight="1" s="63"/>
    <row r="123" ht="14.25" customHeight="1" s="63"/>
    <row r="124" ht="14.25" customHeight="1" s="63"/>
    <row r="125" ht="14.25" customHeight="1" s="63"/>
    <row r="126" ht="14.25" customHeight="1" s="63"/>
    <row r="127" ht="14.25" customHeight="1" s="63"/>
    <row r="128" ht="14.25" customHeight="1" s="63"/>
    <row r="129" ht="14.25" customHeight="1" s="63"/>
    <row r="130" ht="14.25" customHeight="1" s="63"/>
    <row r="131" ht="14.25" customHeight="1" s="63"/>
    <row r="132" ht="14.25" customHeight="1" s="63"/>
    <row r="133" ht="14.25" customHeight="1" s="63"/>
    <row r="134" ht="14.25" customHeight="1" s="63"/>
    <row r="135" ht="14.25" customHeight="1" s="63"/>
    <row r="136" ht="14.25" customHeight="1" s="63"/>
    <row r="137" ht="14.25" customHeight="1" s="63"/>
    <row r="138" ht="14.25" customHeight="1" s="63"/>
    <row r="139" ht="14.25" customHeight="1" s="63"/>
    <row r="140" ht="14.25" customHeight="1" s="63"/>
    <row r="141" ht="14.25" customHeight="1" s="63"/>
    <row r="142" ht="14.25" customHeight="1" s="63"/>
    <row r="143" ht="14.25" customHeight="1" s="63"/>
    <row r="144" ht="14.25" customHeight="1" s="63"/>
    <row r="145" ht="14.25" customHeight="1" s="63"/>
    <row r="146" ht="14.25" customHeight="1" s="63"/>
    <row r="147" ht="14.25" customHeight="1" s="63"/>
    <row r="148" ht="14.25" customHeight="1" s="63"/>
    <row r="149" ht="14.25" customHeight="1" s="63"/>
    <row r="150" ht="14.25" customHeight="1" s="63"/>
    <row r="151" ht="14.25" customHeight="1" s="63"/>
    <row r="152" ht="14.25" customHeight="1" s="63"/>
    <row r="153" ht="14.25" customHeight="1" s="63"/>
    <row r="154" ht="14.25" customHeight="1" s="63"/>
    <row r="155" ht="14.25" customHeight="1" s="63"/>
    <row r="156" ht="14.25" customHeight="1" s="63"/>
    <row r="157" ht="14.25" customHeight="1" s="63"/>
    <row r="158" ht="14.25" customHeight="1" s="63"/>
    <row r="159" ht="14.25" customHeight="1" s="63"/>
    <row r="160" ht="14.25" customHeight="1" s="63"/>
    <row r="161" ht="14.25" customHeight="1" s="63"/>
    <row r="162" ht="14.25" customHeight="1" s="63"/>
    <row r="163" ht="14.25" customHeight="1" s="63"/>
    <row r="164" ht="14.25" customHeight="1" s="63"/>
    <row r="165" ht="14.25" customHeight="1" s="63"/>
    <row r="166" ht="14.25" customHeight="1" s="63"/>
    <row r="167" ht="14.25" customHeight="1" s="63"/>
    <row r="168" ht="14.25" customHeight="1" s="63"/>
    <row r="169" ht="14.25" customHeight="1" s="63"/>
    <row r="170" ht="14.25" customHeight="1" s="63"/>
    <row r="171" ht="14.25" customHeight="1" s="63"/>
    <row r="172" ht="14.25" customHeight="1" s="63"/>
    <row r="173" ht="14.25" customHeight="1" s="63"/>
    <row r="174" ht="14.25" customHeight="1" s="63"/>
    <row r="175" ht="14.25" customHeight="1" s="63"/>
    <row r="176" ht="14.25" customHeight="1" s="63"/>
    <row r="177" ht="14.25" customHeight="1" s="63"/>
    <row r="178" ht="14.25" customHeight="1" s="63"/>
    <row r="179" ht="14.25" customHeight="1" s="63"/>
    <row r="180" ht="14.25" customHeight="1" s="63"/>
    <row r="181" ht="14.25" customHeight="1" s="63"/>
    <row r="182" ht="14.25" customHeight="1" s="63"/>
    <row r="183" ht="14.25" customHeight="1" s="63"/>
    <row r="184" ht="14.25" customHeight="1" s="63"/>
    <row r="185" ht="14.25" customHeight="1" s="63"/>
    <row r="186" ht="14.25" customHeight="1" s="63"/>
    <row r="187" ht="14.25" customHeight="1" s="63"/>
    <row r="188" ht="14.25" customHeight="1" s="63"/>
    <row r="189" ht="14.25" customHeight="1" s="63"/>
    <row r="190" ht="14.25" customHeight="1" s="63"/>
    <row r="191" ht="14.25" customHeight="1" s="63"/>
    <row r="192" ht="14.25" customHeight="1" s="63"/>
    <row r="193" ht="14.25" customHeight="1" s="63"/>
    <row r="194" ht="14.25" customHeight="1" s="63"/>
    <row r="195" ht="14.25" customHeight="1" s="63"/>
    <row r="196" ht="14.25" customHeight="1" s="63"/>
    <row r="197" ht="14.25" customHeight="1" s="63"/>
    <row r="198" ht="14.25" customHeight="1" s="63"/>
    <row r="199" ht="14.25" customHeight="1" s="63"/>
    <row r="200" ht="14.25" customHeight="1" s="63"/>
    <row r="201" ht="14.25" customHeight="1" s="63"/>
    <row r="202" ht="14.25" customHeight="1" s="63"/>
    <row r="203" ht="14.25" customHeight="1" s="63"/>
    <row r="204" ht="14.25" customHeight="1" s="63"/>
    <row r="205" ht="14.25" customHeight="1" s="63"/>
    <row r="206" ht="14.25" customHeight="1" s="63"/>
    <row r="207" ht="14.25" customHeight="1" s="63"/>
    <row r="208" ht="14.25" customHeight="1" s="63"/>
    <row r="209" ht="14.25" customHeight="1" s="63"/>
    <row r="210" ht="14.25" customHeight="1" s="63"/>
    <row r="211" ht="14.25" customHeight="1" s="63"/>
    <row r="212" ht="14.25" customHeight="1" s="63"/>
    <row r="213" ht="14.25" customHeight="1" s="63"/>
    <row r="214" ht="14.25" customHeight="1" s="63"/>
    <row r="215" ht="14.25" customHeight="1" s="63"/>
    <row r="216" ht="14.25" customHeight="1" s="63"/>
    <row r="217" ht="14.25" customHeight="1" s="63"/>
    <row r="218" ht="14.25" customHeight="1" s="63"/>
    <row r="219" ht="14.25" customHeight="1" s="63"/>
    <row r="220" ht="14.25" customHeight="1" s="63"/>
    <row r="221" ht="14.25" customHeight="1" s="63"/>
    <row r="222" ht="14.25" customHeight="1" s="63"/>
    <row r="223" ht="14.25" customHeight="1" s="63"/>
    <row r="224" ht="14.25" customHeight="1" s="63"/>
    <row r="225" ht="14.25" customHeight="1" s="63"/>
    <row r="226" ht="14.25" customHeight="1" s="63"/>
    <row r="227" ht="14.25" customHeight="1" s="63"/>
    <row r="228" ht="14.25" customHeight="1" s="63"/>
    <row r="229" ht="14.25" customHeight="1" s="63"/>
    <row r="230" ht="14.25" customHeight="1" s="63"/>
    <row r="231" ht="14.25" customHeight="1" s="63"/>
    <row r="232" ht="14.25" customHeight="1" s="63"/>
    <row r="233" ht="14.25" customHeight="1" s="63"/>
    <row r="234" ht="14.25" customHeight="1" s="63"/>
    <row r="235" ht="14.25" customHeight="1" s="63"/>
    <row r="236" ht="14.25" customHeight="1" s="63"/>
    <row r="237" ht="14.25" customHeight="1" s="63"/>
    <row r="238" ht="14.25" customHeight="1" s="63"/>
    <row r="239" ht="14.25" customHeight="1" s="63"/>
    <row r="240" ht="14.25" customHeight="1" s="63"/>
    <row r="241" ht="14.25" customHeight="1" s="63"/>
    <row r="242" ht="14.25" customHeight="1" s="63"/>
    <row r="243" ht="14.25" customHeight="1" s="63"/>
    <row r="244" ht="14.25" customHeight="1" s="63"/>
    <row r="245" ht="14.25" customHeight="1" s="63"/>
    <row r="246" ht="14.25" customHeight="1" s="63"/>
    <row r="247" ht="14.25" customHeight="1" s="63"/>
    <row r="248" ht="14.25" customHeight="1" s="63"/>
    <row r="249" ht="14.25" customHeight="1" s="63"/>
    <row r="250" ht="14.25" customHeight="1" s="63"/>
    <row r="251" ht="14.25" customHeight="1" s="63"/>
    <row r="252" ht="14.25" customHeight="1" s="63"/>
    <row r="253" ht="14.25" customHeight="1" s="63"/>
    <row r="254" ht="14.25" customHeight="1" s="63"/>
    <row r="255" ht="14.25" customHeight="1" s="63"/>
    <row r="256" ht="14.25" customHeight="1" s="63"/>
    <row r="257" ht="14.25" customHeight="1" s="63"/>
    <row r="258" ht="14.25" customHeight="1" s="63"/>
    <row r="259" ht="14.25" customHeight="1" s="63"/>
    <row r="260" ht="14.25" customHeight="1" s="63"/>
    <row r="261" ht="14.25" customHeight="1" s="63"/>
    <row r="262" ht="14.25" customHeight="1" s="63"/>
    <row r="263" ht="14.25" customHeight="1" s="63"/>
    <row r="264" ht="14.25" customHeight="1" s="63"/>
    <row r="265" ht="14.25" customHeight="1" s="63"/>
    <row r="266" ht="14.25" customHeight="1" s="63"/>
    <row r="267" ht="14.25" customHeight="1" s="63"/>
    <row r="268" ht="14.25" customHeight="1" s="63"/>
    <row r="269" ht="14.25" customHeight="1" s="63"/>
    <row r="270" ht="14.25" customHeight="1" s="63"/>
    <row r="271" ht="14.25" customHeight="1" s="63"/>
    <row r="272" ht="14.25" customHeight="1" s="63"/>
    <row r="273" ht="14.25" customHeight="1" s="63"/>
    <row r="274" ht="14.25" customHeight="1" s="63"/>
    <row r="275" ht="14.25" customHeight="1" s="63"/>
    <row r="276" ht="14.25" customHeight="1" s="63"/>
    <row r="277" ht="14.25" customHeight="1" s="63"/>
    <row r="278" ht="14.25" customHeight="1" s="63"/>
    <row r="279" ht="14.25" customHeight="1" s="63"/>
    <row r="280" ht="14.25" customHeight="1" s="63"/>
    <row r="281" ht="14.25" customHeight="1" s="63"/>
    <row r="282" ht="14.25" customHeight="1" s="63"/>
    <row r="283" ht="14.25" customHeight="1" s="63"/>
    <row r="284" ht="14.25" customHeight="1" s="63"/>
    <row r="285" ht="14.25" customHeight="1" s="63"/>
    <row r="286" ht="14.25" customHeight="1" s="63"/>
    <row r="287" ht="14.25" customHeight="1" s="63"/>
    <row r="288" ht="14.25" customHeight="1" s="63"/>
    <row r="289" ht="14.25" customHeight="1" s="63"/>
    <row r="290" ht="14.25" customHeight="1" s="63"/>
    <row r="291" ht="14.25" customHeight="1" s="63"/>
    <row r="292" ht="14.25" customHeight="1" s="63"/>
    <row r="293" ht="14.25" customHeight="1" s="63"/>
    <row r="294" ht="14.25" customHeight="1" s="63"/>
    <row r="295" ht="14.25" customHeight="1" s="63"/>
    <row r="296" ht="14.25" customHeight="1" s="63"/>
    <row r="297" ht="14.25" customHeight="1" s="63"/>
    <row r="298" ht="14.25" customHeight="1" s="63"/>
    <row r="299" ht="14.25" customHeight="1" s="63"/>
    <row r="300" ht="14.25" customHeight="1" s="63"/>
    <row r="301" ht="14.25" customHeight="1" s="63"/>
    <row r="302" ht="14.25" customHeight="1" s="63"/>
    <row r="303" ht="14.25" customHeight="1" s="63"/>
    <row r="304" ht="14.25" customHeight="1" s="63"/>
    <row r="305" ht="14.25" customHeight="1" s="63"/>
    <row r="306" ht="14.25" customHeight="1" s="63"/>
    <row r="307" ht="14.25" customHeight="1" s="63"/>
    <row r="308" ht="14.25" customHeight="1" s="63"/>
    <row r="309" ht="14.25" customHeight="1" s="63"/>
    <row r="310" ht="14.25" customHeight="1" s="63"/>
    <row r="311" ht="14.25" customHeight="1" s="63"/>
    <row r="312" ht="14.25" customHeight="1" s="63"/>
    <row r="313" ht="14.25" customHeight="1" s="63"/>
    <row r="314" ht="14.25" customHeight="1" s="63"/>
    <row r="315" ht="14.25" customHeight="1" s="63"/>
    <row r="316" ht="14.25" customHeight="1" s="63"/>
    <row r="317" ht="14.25" customHeight="1" s="63"/>
    <row r="318" ht="14.25" customHeight="1" s="63"/>
    <row r="319" ht="14.25" customHeight="1" s="63"/>
    <row r="320" ht="14.25" customHeight="1" s="63"/>
    <row r="321" ht="14.25" customHeight="1" s="63"/>
    <row r="322" ht="14.25" customHeight="1" s="63"/>
    <row r="323" ht="14.25" customHeight="1" s="63"/>
    <row r="324" ht="14.25" customHeight="1" s="63"/>
    <row r="325" ht="14.25" customHeight="1" s="63"/>
    <row r="326" ht="14.25" customHeight="1" s="63"/>
    <row r="327" ht="14.25" customHeight="1" s="63"/>
    <row r="328" ht="14.25" customHeight="1" s="63"/>
    <row r="329" ht="14.25" customHeight="1" s="63"/>
    <row r="330" ht="14.25" customHeight="1" s="63"/>
    <row r="331" ht="14.25" customHeight="1" s="63"/>
    <row r="332" ht="14.25" customHeight="1" s="63"/>
    <row r="333" ht="14.25" customHeight="1" s="63"/>
    <row r="334" ht="14.25" customHeight="1" s="63"/>
    <row r="335" ht="14.25" customHeight="1" s="63"/>
    <row r="336" ht="14.25" customHeight="1" s="63"/>
    <row r="337" ht="14.25" customHeight="1" s="63"/>
    <row r="338" ht="14.25" customHeight="1" s="63"/>
    <row r="339" ht="14.25" customHeight="1" s="63"/>
    <row r="340" ht="14.25" customHeight="1" s="63"/>
    <row r="341" ht="14.25" customHeight="1" s="63"/>
    <row r="342" ht="14.25" customHeight="1" s="63"/>
    <row r="343" ht="14.25" customHeight="1" s="63"/>
    <row r="344" ht="14.25" customHeight="1" s="63"/>
    <row r="345" ht="14.25" customHeight="1" s="63"/>
    <row r="346" ht="14.25" customHeight="1" s="63"/>
    <row r="347" ht="14.25" customHeight="1" s="63"/>
    <row r="348" ht="14.25" customHeight="1" s="63"/>
    <row r="349" ht="14.25" customHeight="1" s="63"/>
    <row r="350" ht="14.25" customHeight="1" s="63"/>
    <row r="351" ht="14.25" customHeight="1" s="63"/>
    <row r="352" ht="14.25" customHeight="1" s="63"/>
    <row r="353" ht="14.25" customHeight="1" s="63"/>
    <row r="354" ht="14.25" customHeight="1" s="63"/>
    <row r="355" ht="14.25" customHeight="1" s="63"/>
    <row r="356" ht="14.25" customHeight="1" s="63"/>
    <row r="357" ht="14.25" customHeight="1" s="63"/>
    <row r="358" ht="14.25" customHeight="1" s="63"/>
    <row r="359" ht="14.25" customHeight="1" s="63"/>
    <row r="360" ht="14.25" customHeight="1" s="63"/>
    <row r="361" ht="14.25" customHeight="1" s="63"/>
    <row r="362" ht="14.25" customHeight="1" s="63"/>
    <row r="363" ht="14.25" customHeight="1" s="63"/>
    <row r="364" ht="14.25" customHeight="1" s="63"/>
    <row r="365" ht="14.25" customHeight="1" s="63"/>
    <row r="366" ht="14.25" customHeight="1" s="63"/>
    <row r="367" ht="14.25" customHeight="1" s="63"/>
    <row r="368" ht="14.25" customHeight="1" s="63"/>
    <row r="369" ht="14.25" customHeight="1" s="63"/>
    <row r="370" ht="14.25" customHeight="1" s="63"/>
    <row r="371" ht="14.25" customHeight="1" s="63"/>
    <row r="372" ht="14.25" customHeight="1" s="63"/>
    <row r="373" ht="14.25" customHeight="1" s="63"/>
    <row r="374" ht="14.25" customHeight="1" s="63"/>
    <row r="375" ht="14.25" customHeight="1" s="63"/>
    <row r="376" ht="14.25" customHeight="1" s="63"/>
    <row r="377" ht="14.25" customHeight="1" s="63"/>
    <row r="378" ht="14.25" customHeight="1" s="63"/>
    <row r="379" ht="14.25" customHeight="1" s="63"/>
    <row r="380" ht="14.25" customHeight="1" s="63"/>
    <row r="381" ht="14.25" customHeight="1" s="63"/>
    <row r="382" ht="14.25" customHeight="1" s="63"/>
    <row r="383" ht="14.25" customHeight="1" s="63"/>
    <row r="384" ht="14.25" customHeight="1" s="63"/>
    <row r="385" ht="14.25" customHeight="1" s="63"/>
    <row r="386" ht="14.25" customHeight="1" s="63"/>
    <row r="387" ht="14.25" customHeight="1" s="63"/>
    <row r="388" ht="14.25" customHeight="1" s="63"/>
    <row r="389" ht="14.25" customHeight="1" s="63"/>
    <row r="390" ht="14.25" customHeight="1" s="63"/>
    <row r="391" ht="14.25" customHeight="1" s="63"/>
    <row r="392" ht="14.25" customHeight="1" s="63"/>
    <row r="393" ht="14.25" customHeight="1" s="63"/>
    <row r="394" ht="14.25" customHeight="1" s="63"/>
    <row r="395" ht="14.25" customHeight="1" s="63"/>
    <row r="396" ht="14.25" customHeight="1" s="63"/>
    <row r="397" ht="14.25" customHeight="1" s="63"/>
    <row r="398" ht="14.25" customHeight="1" s="63"/>
    <row r="399" ht="14.25" customHeight="1" s="63"/>
    <row r="400" ht="14.25" customHeight="1" s="63"/>
    <row r="401" ht="14.25" customHeight="1" s="63"/>
    <row r="402" ht="14.25" customHeight="1" s="63"/>
    <row r="403" ht="14.25" customHeight="1" s="63"/>
    <row r="404" ht="14.25" customHeight="1" s="63"/>
    <row r="405" ht="14.25" customHeight="1" s="63"/>
    <row r="406" ht="14.25" customHeight="1" s="63"/>
    <row r="407" ht="14.25" customHeight="1" s="63"/>
    <row r="408" ht="14.25" customHeight="1" s="63"/>
    <row r="409" ht="14.25" customHeight="1" s="63"/>
    <row r="410" ht="14.25" customHeight="1" s="63"/>
    <row r="411" ht="14.25" customHeight="1" s="63"/>
    <row r="412" ht="14.25" customHeight="1" s="63"/>
    <row r="413" ht="14.25" customHeight="1" s="63"/>
    <row r="414" ht="14.25" customHeight="1" s="63"/>
    <row r="415" ht="14.25" customHeight="1" s="63"/>
    <row r="416" ht="14.25" customHeight="1" s="63"/>
    <row r="417" ht="14.25" customHeight="1" s="63"/>
    <row r="418" ht="14.25" customHeight="1" s="63"/>
    <row r="419" ht="14.25" customHeight="1" s="63"/>
    <row r="420" ht="14.25" customHeight="1" s="63"/>
    <row r="421" ht="14.25" customHeight="1" s="63"/>
    <row r="422" ht="14.25" customHeight="1" s="63"/>
    <row r="423" ht="14.25" customHeight="1" s="63"/>
    <row r="424" ht="14.25" customHeight="1" s="63"/>
    <row r="425" ht="14.25" customHeight="1" s="63"/>
    <row r="426" ht="14.25" customHeight="1" s="63"/>
    <row r="427" ht="14.25" customHeight="1" s="63"/>
    <row r="428" ht="14.25" customHeight="1" s="63"/>
    <row r="429" ht="14.25" customHeight="1" s="63"/>
    <row r="430" ht="14.25" customHeight="1" s="63"/>
    <row r="431" ht="14.25" customHeight="1" s="63"/>
    <row r="432" ht="14.25" customHeight="1" s="63"/>
    <row r="433" ht="14.25" customHeight="1" s="63"/>
    <row r="434" ht="14.25" customHeight="1" s="63"/>
    <row r="435" ht="14.25" customHeight="1" s="63"/>
    <row r="436" ht="14.25" customHeight="1" s="63"/>
    <row r="437" ht="14.25" customHeight="1" s="63"/>
    <row r="438" ht="14.25" customHeight="1" s="63"/>
    <row r="439" ht="14.25" customHeight="1" s="63"/>
    <row r="440" ht="14.25" customHeight="1" s="63"/>
    <row r="441" ht="14.25" customHeight="1" s="63"/>
    <row r="442" ht="14.25" customHeight="1" s="63"/>
    <row r="443" ht="14.25" customHeight="1" s="63"/>
    <row r="444" ht="14.25" customHeight="1" s="63"/>
    <row r="445" ht="14.25" customHeight="1" s="63"/>
    <row r="446" ht="14.25" customHeight="1" s="63"/>
    <row r="447" ht="14.25" customHeight="1" s="63"/>
    <row r="448" ht="14.25" customHeight="1" s="63"/>
    <row r="449" ht="14.25" customHeight="1" s="63"/>
    <row r="450" ht="14.25" customHeight="1" s="63"/>
    <row r="451" ht="14.25" customHeight="1" s="63"/>
    <row r="452" ht="14.25" customHeight="1" s="63"/>
    <row r="453" ht="14.25" customHeight="1" s="63"/>
    <row r="454" ht="14.25" customHeight="1" s="63"/>
    <row r="455" ht="14.25" customHeight="1" s="63"/>
    <row r="456" ht="14.25" customHeight="1" s="63"/>
    <row r="457" ht="14.25" customHeight="1" s="63"/>
    <row r="458" ht="14.25" customHeight="1" s="63"/>
    <row r="459" ht="14.25" customHeight="1" s="63"/>
    <row r="460" ht="14.25" customHeight="1" s="63"/>
    <row r="461" ht="14.25" customHeight="1" s="63"/>
    <row r="462" ht="14.25" customHeight="1" s="63"/>
    <row r="463" ht="14.25" customHeight="1" s="63"/>
    <row r="464" ht="14.25" customHeight="1" s="63"/>
    <row r="465" ht="14.25" customHeight="1" s="63"/>
    <row r="466" ht="14.25" customHeight="1" s="63"/>
    <row r="467" ht="14.25" customHeight="1" s="63"/>
    <row r="468" ht="14.25" customHeight="1" s="63"/>
    <row r="469" ht="14.25" customHeight="1" s="63"/>
    <row r="470" ht="14.25" customHeight="1" s="63"/>
    <row r="471" ht="14.25" customHeight="1" s="63"/>
    <row r="472" ht="14.25" customHeight="1" s="63"/>
    <row r="473" ht="14.25" customHeight="1" s="63"/>
    <row r="474" ht="14.25" customHeight="1" s="63"/>
    <row r="475" ht="14.25" customHeight="1" s="63"/>
    <row r="476" ht="14.25" customHeight="1" s="63"/>
    <row r="477" ht="14.25" customHeight="1" s="63"/>
    <row r="478" ht="14.25" customHeight="1" s="63"/>
    <row r="479" ht="14.25" customHeight="1" s="63"/>
    <row r="480" ht="14.25" customHeight="1" s="63"/>
    <row r="481" ht="14.25" customHeight="1" s="63"/>
    <row r="482" ht="14.25" customHeight="1" s="63"/>
    <row r="483" ht="14.25" customHeight="1" s="63"/>
    <row r="484" ht="14.25" customHeight="1" s="63"/>
    <row r="485" ht="14.25" customHeight="1" s="63"/>
    <row r="486" ht="14.25" customHeight="1" s="63"/>
    <row r="487" ht="14.25" customHeight="1" s="63"/>
    <row r="488" ht="14.25" customHeight="1" s="63"/>
    <row r="489" ht="14.25" customHeight="1" s="63"/>
    <row r="490" ht="14.25" customHeight="1" s="63"/>
    <row r="491" ht="14.25" customHeight="1" s="63"/>
    <row r="492" ht="14.25" customHeight="1" s="63"/>
    <row r="493" ht="14.25" customHeight="1" s="63"/>
    <row r="494" ht="14.25" customHeight="1" s="63"/>
    <row r="495" ht="14.25" customHeight="1" s="63"/>
    <row r="496" ht="14.25" customHeight="1" s="63"/>
    <row r="497" ht="14.25" customHeight="1" s="63"/>
    <row r="498" ht="14.25" customHeight="1" s="63"/>
    <row r="499" ht="14.25" customHeight="1" s="63"/>
    <row r="500" ht="14.25" customHeight="1" s="63"/>
    <row r="501" ht="14.25" customHeight="1" s="63"/>
    <row r="502" ht="14.25" customHeight="1" s="63"/>
    <row r="503" ht="14.25" customHeight="1" s="63"/>
    <row r="504" ht="14.25" customHeight="1" s="63"/>
    <row r="505" ht="14.25" customHeight="1" s="63"/>
    <row r="506" ht="14.25" customHeight="1" s="63"/>
    <row r="507" ht="14.25" customHeight="1" s="63"/>
    <row r="508" ht="14.25" customHeight="1" s="63"/>
    <row r="509" ht="14.25" customHeight="1" s="63"/>
    <row r="510" ht="14.25" customHeight="1" s="63"/>
    <row r="511" ht="14.25" customHeight="1" s="63"/>
    <row r="512" ht="14.25" customHeight="1" s="63"/>
    <row r="513" ht="14.25" customHeight="1" s="63"/>
    <row r="514" ht="14.25" customHeight="1" s="63"/>
    <row r="515" ht="14.25" customHeight="1" s="63"/>
    <row r="516" ht="14.25" customHeight="1" s="63"/>
    <row r="517" ht="14.25" customHeight="1" s="63"/>
    <row r="518" ht="14.25" customHeight="1" s="63"/>
    <row r="519" ht="14.25" customHeight="1" s="63"/>
    <row r="520" ht="14.25" customHeight="1" s="63"/>
    <row r="521" ht="14.25" customHeight="1" s="63"/>
    <row r="522" ht="14.25" customHeight="1" s="63"/>
    <row r="523" ht="14.25" customHeight="1" s="63"/>
    <row r="524" ht="14.25" customHeight="1" s="63"/>
    <row r="525" ht="14.25" customHeight="1" s="63"/>
    <row r="526" ht="14.25" customHeight="1" s="63"/>
    <row r="527" ht="14.25" customHeight="1" s="63"/>
    <row r="528" ht="14.25" customHeight="1" s="63"/>
    <row r="529" ht="14.25" customHeight="1" s="63"/>
    <row r="530" ht="14.25" customHeight="1" s="63"/>
    <row r="531" ht="14.25" customHeight="1" s="63"/>
    <row r="532" ht="14.25" customHeight="1" s="63"/>
    <row r="533" ht="14.25" customHeight="1" s="63"/>
    <row r="534" ht="14.25" customHeight="1" s="63"/>
    <row r="535" ht="14.25" customHeight="1" s="63"/>
    <row r="536" ht="14.25" customHeight="1" s="63"/>
    <row r="537" ht="14.25" customHeight="1" s="63"/>
    <row r="538" ht="14.25" customHeight="1" s="63"/>
    <row r="539" ht="14.25" customHeight="1" s="63"/>
    <row r="540" ht="14.25" customHeight="1" s="63"/>
    <row r="541" ht="14.25" customHeight="1" s="63"/>
    <row r="542" ht="14.25" customHeight="1" s="63"/>
    <row r="543" ht="14.25" customHeight="1" s="63"/>
    <row r="544" ht="14.25" customHeight="1" s="63"/>
    <row r="545" ht="14.25" customHeight="1" s="63"/>
    <row r="546" ht="14.25" customHeight="1" s="63"/>
    <row r="547" ht="14.25" customHeight="1" s="63"/>
    <row r="548" ht="14.25" customHeight="1" s="63"/>
    <row r="549" ht="14.25" customHeight="1" s="63"/>
    <row r="550" ht="14.25" customHeight="1" s="63"/>
    <row r="551" ht="14.25" customHeight="1" s="63"/>
    <row r="552" ht="14.25" customHeight="1" s="63"/>
    <row r="553" ht="14.25" customHeight="1" s="63"/>
    <row r="554" ht="14.25" customHeight="1" s="63"/>
    <row r="555" ht="14.25" customHeight="1" s="63"/>
    <row r="556" ht="14.25" customHeight="1" s="63"/>
    <row r="557" ht="14.25" customHeight="1" s="63"/>
    <row r="558" ht="14.25" customHeight="1" s="63"/>
    <row r="559" ht="14.25" customHeight="1" s="63"/>
    <row r="560" ht="14.25" customHeight="1" s="63"/>
    <row r="561" ht="14.25" customHeight="1" s="63"/>
    <row r="562" ht="14.25" customHeight="1" s="63"/>
    <row r="563" ht="14.25" customHeight="1" s="63"/>
    <row r="564" ht="14.25" customHeight="1" s="63"/>
    <row r="565" ht="14.25" customHeight="1" s="63"/>
    <row r="566" ht="14.25" customHeight="1" s="63"/>
    <row r="567" ht="14.25" customHeight="1" s="63"/>
    <row r="568" ht="14.25" customHeight="1" s="63"/>
    <row r="569" ht="14.25" customHeight="1" s="63"/>
    <row r="570" ht="14.25" customHeight="1" s="63"/>
    <row r="571" ht="14.25" customHeight="1" s="63"/>
    <row r="572" ht="14.25" customHeight="1" s="63"/>
    <row r="573" ht="14.25" customHeight="1" s="63"/>
    <row r="574" ht="14.25" customHeight="1" s="63"/>
    <row r="575" ht="14.25" customHeight="1" s="63"/>
    <row r="576" ht="14.25" customHeight="1" s="63"/>
    <row r="577" ht="14.25" customHeight="1" s="63"/>
    <row r="578" ht="14.25" customHeight="1" s="63"/>
    <row r="579" ht="14.25" customHeight="1" s="63"/>
    <row r="580" ht="14.25" customHeight="1" s="63"/>
    <row r="581" ht="14.25" customHeight="1" s="63"/>
    <row r="582" ht="14.25" customHeight="1" s="63"/>
    <row r="583" ht="14.25" customHeight="1" s="63"/>
    <row r="584" ht="14.25" customHeight="1" s="63"/>
    <row r="585" ht="14.25" customHeight="1" s="63"/>
    <row r="586" ht="14.25" customHeight="1" s="63"/>
    <row r="587" ht="14.25" customHeight="1" s="63"/>
    <row r="588" ht="14.25" customHeight="1" s="63"/>
    <row r="589" ht="14.25" customHeight="1" s="63"/>
    <row r="590" ht="14.25" customHeight="1" s="63"/>
    <row r="591" ht="14.25" customHeight="1" s="63"/>
    <row r="592" ht="14.25" customHeight="1" s="63"/>
    <row r="593" ht="14.25" customHeight="1" s="63"/>
    <row r="594" ht="14.25" customHeight="1" s="63"/>
    <row r="595" ht="14.25" customHeight="1" s="63"/>
    <row r="596" ht="14.25" customHeight="1" s="63"/>
    <row r="597" ht="14.25" customHeight="1" s="63"/>
    <row r="598" ht="14.25" customHeight="1" s="63"/>
    <row r="599" ht="14.25" customHeight="1" s="63"/>
    <row r="600" ht="14.25" customHeight="1" s="63"/>
    <row r="601" ht="14.25" customHeight="1" s="63"/>
    <row r="602" ht="14.25" customHeight="1" s="63"/>
    <row r="603" ht="14.25" customHeight="1" s="63"/>
    <row r="604" ht="14.25" customHeight="1" s="63"/>
    <row r="605" ht="14.25" customHeight="1" s="63"/>
    <row r="606" ht="14.25" customHeight="1" s="63"/>
    <row r="607" ht="14.25" customHeight="1" s="63"/>
    <row r="608" ht="14.25" customHeight="1" s="63"/>
    <row r="609" ht="14.25" customHeight="1" s="63"/>
    <row r="610" ht="14.25" customHeight="1" s="63"/>
    <row r="611" ht="14.25" customHeight="1" s="63"/>
    <row r="612" ht="14.25" customHeight="1" s="63"/>
    <row r="613" ht="14.25" customHeight="1" s="63"/>
    <row r="614" ht="14.25" customHeight="1" s="63"/>
    <row r="615" ht="14.25" customHeight="1" s="63"/>
    <row r="616" ht="14.25" customHeight="1" s="63"/>
    <row r="617" ht="14.25" customHeight="1" s="63"/>
    <row r="618" ht="14.25" customHeight="1" s="63"/>
    <row r="619" ht="14.25" customHeight="1" s="63"/>
    <row r="620" ht="14.25" customHeight="1" s="63"/>
    <row r="621" ht="14.25" customHeight="1" s="63"/>
    <row r="622" ht="14.25" customHeight="1" s="63"/>
    <row r="623" ht="14.25" customHeight="1" s="63"/>
    <row r="624" ht="14.25" customHeight="1" s="63"/>
    <row r="625" ht="14.25" customHeight="1" s="63"/>
    <row r="626" ht="14.25" customHeight="1" s="63"/>
    <row r="627" ht="14.25" customHeight="1" s="63"/>
    <row r="628" ht="14.25" customHeight="1" s="63"/>
    <row r="629" ht="14.25" customHeight="1" s="63"/>
    <row r="630" ht="14.25" customHeight="1" s="63"/>
    <row r="631" ht="14.25" customHeight="1" s="63"/>
    <row r="632" ht="14.25" customHeight="1" s="63"/>
    <row r="633" ht="14.25" customHeight="1" s="63"/>
    <row r="634" ht="14.25" customHeight="1" s="63"/>
    <row r="635" ht="14.25" customHeight="1" s="63"/>
    <row r="636" ht="14.25" customHeight="1" s="63"/>
    <row r="637" ht="14.25" customHeight="1" s="63"/>
    <row r="638" ht="14.25" customHeight="1" s="63"/>
    <row r="639" ht="14.25" customHeight="1" s="63"/>
    <row r="640" ht="14.25" customHeight="1" s="63"/>
    <row r="641" ht="14.25" customHeight="1" s="63"/>
    <row r="642" ht="14.25" customHeight="1" s="63"/>
    <row r="643" ht="14.25" customHeight="1" s="63"/>
    <row r="644" ht="14.25" customHeight="1" s="63"/>
    <row r="645" ht="14.25" customHeight="1" s="63"/>
    <row r="646" ht="14.25" customHeight="1" s="63"/>
    <row r="647" ht="14.25" customHeight="1" s="63"/>
    <row r="648" ht="14.25" customHeight="1" s="63"/>
    <row r="649" ht="14.25" customHeight="1" s="63"/>
    <row r="650" ht="14.25" customHeight="1" s="63"/>
    <row r="651" ht="14.25" customHeight="1" s="63"/>
    <row r="652" ht="14.25" customHeight="1" s="63"/>
    <row r="653" ht="14.25" customHeight="1" s="63"/>
    <row r="654" ht="14.25" customHeight="1" s="63"/>
    <row r="655" ht="14.25" customHeight="1" s="63"/>
    <row r="656" ht="14.25" customHeight="1" s="63"/>
    <row r="657" ht="14.25" customHeight="1" s="63"/>
    <row r="658" ht="14.25" customHeight="1" s="63"/>
    <row r="659" ht="14.25" customHeight="1" s="63"/>
    <row r="660" ht="14.25" customHeight="1" s="63"/>
    <row r="661" ht="14.25" customHeight="1" s="63"/>
    <row r="662" ht="14.25" customHeight="1" s="63"/>
    <row r="663" ht="14.25" customHeight="1" s="63"/>
    <row r="664" ht="14.25" customHeight="1" s="63"/>
    <row r="665" ht="14.25" customHeight="1" s="63"/>
    <row r="666" ht="14.25" customHeight="1" s="63"/>
    <row r="667" ht="14.25" customHeight="1" s="63"/>
    <row r="668" ht="14.25" customHeight="1" s="63"/>
    <row r="669" ht="14.25" customHeight="1" s="63"/>
    <row r="670" ht="14.25" customHeight="1" s="63"/>
    <row r="671" ht="14.25" customHeight="1" s="63"/>
    <row r="672" ht="14.25" customHeight="1" s="63"/>
    <row r="673" ht="14.25" customHeight="1" s="63"/>
    <row r="674" ht="14.25" customHeight="1" s="63"/>
    <row r="675" ht="14.25" customHeight="1" s="63"/>
    <row r="676" ht="14.25" customHeight="1" s="63"/>
    <row r="677" ht="14.25" customHeight="1" s="63"/>
    <row r="678" ht="14.25" customHeight="1" s="63"/>
    <row r="679" ht="14.25" customHeight="1" s="63"/>
    <row r="680" ht="14.25" customHeight="1" s="63"/>
    <row r="681" ht="14.25" customHeight="1" s="63"/>
    <row r="682" ht="14.25" customHeight="1" s="63"/>
    <row r="683" ht="14.25" customHeight="1" s="63"/>
    <row r="684" ht="14.25" customHeight="1" s="63"/>
    <row r="685" ht="14.25" customHeight="1" s="63"/>
    <row r="686" ht="14.25" customHeight="1" s="63"/>
    <row r="687" ht="14.25" customHeight="1" s="63"/>
    <row r="688" ht="14.25" customHeight="1" s="63"/>
    <row r="689" ht="14.25" customHeight="1" s="63"/>
    <row r="690" ht="14.25" customHeight="1" s="63"/>
    <row r="691" ht="14.25" customHeight="1" s="63"/>
    <row r="692" ht="14.25" customHeight="1" s="63"/>
    <row r="693" ht="14.25" customHeight="1" s="63"/>
    <row r="694" ht="14.25" customHeight="1" s="63"/>
    <row r="695" ht="14.25" customHeight="1" s="63"/>
    <row r="696" ht="14.25" customHeight="1" s="63"/>
    <row r="697" ht="14.25" customHeight="1" s="63"/>
    <row r="698" ht="14.25" customHeight="1" s="63"/>
    <row r="699" ht="14.25" customHeight="1" s="63"/>
    <row r="700" ht="14.25" customHeight="1" s="63"/>
    <row r="701" ht="14.25" customHeight="1" s="63"/>
    <row r="702" ht="14.25" customHeight="1" s="63"/>
    <row r="703" ht="14.25" customHeight="1" s="63"/>
    <row r="704" ht="14.25" customHeight="1" s="63"/>
    <row r="705" ht="14.25" customHeight="1" s="63"/>
    <row r="706" ht="14.25" customHeight="1" s="63"/>
    <row r="707" ht="14.25" customHeight="1" s="63"/>
    <row r="708" ht="14.25" customHeight="1" s="63"/>
    <row r="709" ht="14.25" customHeight="1" s="63"/>
    <row r="710" ht="14.25" customHeight="1" s="63"/>
    <row r="711" ht="14.25" customHeight="1" s="63"/>
    <row r="712" ht="14.25" customHeight="1" s="63"/>
    <row r="713" ht="14.25" customHeight="1" s="63"/>
    <row r="714" ht="14.25" customHeight="1" s="63"/>
    <row r="715" ht="14.25" customHeight="1" s="63"/>
    <row r="716" ht="14.25" customHeight="1" s="63"/>
    <row r="717" ht="14.25" customHeight="1" s="63"/>
    <row r="718" ht="14.25" customHeight="1" s="63"/>
    <row r="719" ht="14.25" customHeight="1" s="63"/>
    <row r="720" ht="14.25" customHeight="1" s="63"/>
    <row r="721" ht="14.25" customHeight="1" s="63"/>
    <row r="722" ht="14.25" customHeight="1" s="63"/>
    <row r="723" ht="14.25" customHeight="1" s="63"/>
    <row r="724" ht="14.25" customHeight="1" s="63"/>
    <row r="725" ht="14.25" customHeight="1" s="63"/>
    <row r="726" ht="14.25" customHeight="1" s="63"/>
    <row r="727" ht="14.25" customHeight="1" s="63"/>
    <row r="728" ht="14.25" customHeight="1" s="63"/>
    <row r="729" ht="14.25" customHeight="1" s="63"/>
    <row r="730" ht="14.25" customHeight="1" s="63"/>
    <row r="731" ht="14.25" customHeight="1" s="63"/>
    <row r="732" ht="14.25" customHeight="1" s="63"/>
    <row r="733" ht="14.25" customHeight="1" s="63"/>
    <row r="734" ht="14.25" customHeight="1" s="63"/>
    <row r="735" ht="14.25" customHeight="1" s="63"/>
    <row r="736" ht="14.25" customHeight="1" s="63"/>
    <row r="737" ht="14.25" customHeight="1" s="63"/>
    <row r="738" ht="14.25" customHeight="1" s="63"/>
    <row r="739" ht="14.25" customHeight="1" s="63"/>
    <row r="740" ht="14.25" customHeight="1" s="63"/>
    <row r="741" ht="14.25" customHeight="1" s="63"/>
    <row r="742" ht="14.25" customHeight="1" s="63"/>
    <row r="743" ht="14.25" customHeight="1" s="63"/>
    <row r="744" ht="14.25" customHeight="1" s="63"/>
    <row r="745" ht="14.25" customHeight="1" s="63"/>
    <row r="746" ht="14.25" customHeight="1" s="63"/>
    <row r="747" ht="14.25" customHeight="1" s="63"/>
    <row r="748" ht="14.25" customHeight="1" s="63"/>
    <row r="749" ht="14.25" customHeight="1" s="63"/>
    <row r="750" ht="14.25" customHeight="1" s="63"/>
    <row r="751" ht="14.25" customHeight="1" s="63"/>
    <row r="752" ht="14.25" customHeight="1" s="63"/>
    <row r="753" ht="14.25" customHeight="1" s="63"/>
    <row r="754" ht="14.25" customHeight="1" s="63"/>
    <row r="755" ht="14.25" customHeight="1" s="63"/>
    <row r="756" ht="14.25" customHeight="1" s="63"/>
    <row r="757" ht="14.25" customHeight="1" s="63"/>
    <row r="758" ht="14.25" customHeight="1" s="63"/>
    <row r="759" ht="14.25" customHeight="1" s="63"/>
    <row r="760" ht="14.25" customHeight="1" s="63"/>
    <row r="761" ht="14.25" customHeight="1" s="63"/>
    <row r="762" ht="14.25" customHeight="1" s="63"/>
    <row r="763" ht="14.25" customHeight="1" s="63"/>
    <row r="764" ht="14.25" customHeight="1" s="63"/>
    <row r="765" ht="14.25" customHeight="1" s="63"/>
    <row r="766" ht="14.25" customHeight="1" s="63"/>
    <row r="767" ht="14.25" customHeight="1" s="63"/>
    <row r="768" ht="14.25" customHeight="1" s="63"/>
    <row r="769" ht="14.25" customHeight="1" s="63"/>
    <row r="770" ht="14.25" customHeight="1" s="63"/>
    <row r="771" ht="14.25" customHeight="1" s="63"/>
    <row r="772" ht="14.25" customHeight="1" s="63"/>
    <row r="773" ht="14.25" customHeight="1" s="63"/>
    <row r="774" ht="14.25" customHeight="1" s="63"/>
    <row r="775" ht="14.25" customHeight="1" s="63"/>
    <row r="776" ht="14.25" customHeight="1" s="63"/>
    <row r="777" ht="14.25" customHeight="1" s="63"/>
    <row r="778" ht="14.25" customHeight="1" s="63"/>
    <row r="779" ht="14.25" customHeight="1" s="63"/>
    <row r="780" ht="14.25" customHeight="1" s="63"/>
    <row r="781" ht="14.25" customHeight="1" s="63"/>
    <row r="782" ht="14.25" customHeight="1" s="63"/>
    <row r="783" ht="14.25" customHeight="1" s="63"/>
    <row r="784" ht="14.25" customHeight="1" s="63"/>
    <row r="785" ht="14.25" customHeight="1" s="63"/>
    <row r="786" ht="14.25" customHeight="1" s="63"/>
    <row r="787" ht="14.25" customHeight="1" s="63"/>
    <row r="788" ht="14.25" customHeight="1" s="63"/>
    <row r="789" ht="14.25" customHeight="1" s="63"/>
    <row r="790" ht="14.25" customHeight="1" s="63"/>
    <row r="791" ht="14.25" customHeight="1" s="63"/>
    <row r="792" ht="14.25" customHeight="1" s="63"/>
    <row r="793" ht="14.25" customHeight="1" s="63"/>
    <row r="794" ht="14.25" customHeight="1" s="63"/>
    <row r="795" ht="14.25" customHeight="1" s="63"/>
    <row r="796" ht="14.25" customHeight="1" s="63"/>
    <row r="797" ht="14.25" customHeight="1" s="63"/>
    <row r="798" ht="14.25" customHeight="1" s="63"/>
    <row r="799" ht="14.25" customHeight="1" s="63"/>
    <row r="800" ht="14.25" customHeight="1" s="63"/>
    <row r="801" ht="14.25" customHeight="1" s="63"/>
    <row r="802" ht="14.25" customHeight="1" s="63"/>
    <row r="803" ht="14.25" customHeight="1" s="63"/>
    <row r="804" ht="14.25" customHeight="1" s="63"/>
    <row r="805" ht="14.25" customHeight="1" s="63"/>
    <row r="806" ht="14.25" customHeight="1" s="63"/>
    <row r="807" ht="14.25" customHeight="1" s="63"/>
    <row r="808" ht="14.25" customHeight="1" s="63"/>
    <row r="809" ht="14.25" customHeight="1" s="63"/>
    <row r="810" ht="14.25" customHeight="1" s="63"/>
    <row r="811" ht="14.25" customHeight="1" s="63"/>
    <row r="812" ht="14.25" customHeight="1" s="63"/>
    <row r="813" ht="14.25" customHeight="1" s="63"/>
    <row r="814" ht="14.25" customHeight="1" s="63"/>
    <row r="815" ht="14.25" customHeight="1" s="63"/>
    <row r="816" ht="14.25" customHeight="1" s="63"/>
    <row r="817" ht="14.25" customHeight="1" s="63"/>
    <row r="818" ht="14.25" customHeight="1" s="63"/>
    <row r="819" ht="14.25" customHeight="1" s="63"/>
    <row r="820" ht="14.25" customHeight="1" s="63"/>
    <row r="821" ht="14.25" customHeight="1" s="63"/>
    <row r="822" ht="14.25" customHeight="1" s="63"/>
    <row r="823" ht="14.25" customHeight="1" s="63"/>
    <row r="824" ht="14.25" customHeight="1" s="63"/>
    <row r="825" ht="14.25" customHeight="1" s="63"/>
    <row r="826" ht="14.25" customHeight="1" s="63"/>
    <row r="827" ht="14.25" customHeight="1" s="63"/>
    <row r="828" ht="14.25" customHeight="1" s="63"/>
    <row r="829" ht="14.25" customHeight="1" s="63"/>
    <row r="830" ht="14.25" customHeight="1" s="63"/>
    <row r="831" ht="14.25" customHeight="1" s="63"/>
    <row r="832" ht="14.25" customHeight="1" s="63"/>
    <row r="833" ht="14.25" customHeight="1" s="63"/>
    <row r="834" ht="14.25" customHeight="1" s="63"/>
    <row r="835" ht="14.25" customHeight="1" s="63"/>
    <row r="836" ht="14.25" customHeight="1" s="63"/>
    <row r="837" ht="14.25" customHeight="1" s="63"/>
    <row r="838" ht="14.25" customHeight="1" s="63"/>
    <row r="839" ht="14.25" customHeight="1" s="63"/>
    <row r="840" ht="14.25" customHeight="1" s="63"/>
    <row r="841" ht="14.25" customHeight="1" s="63"/>
    <row r="842" ht="14.25" customHeight="1" s="63"/>
    <row r="843" ht="14.25" customHeight="1" s="63"/>
    <row r="844" ht="14.25" customHeight="1" s="63"/>
    <row r="845" ht="14.25" customHeight="1" s="63"/>
    <row r="846" ht="14.25" customHeight="1" s="63"/>
    <row r="847" ht="14.25" customHeight="1" s="63"/>
    <row r="848" ht="14.25" customHeight="1" s="63"/>
    <row r="849" ht="14.25" customHeight="1" s="63"/>
    <row r="850" ht="14.25" customHeight="1" s="63"/>
    <row r="851" ht="14.25" customHeight="1" s="63"/>
    <row r="852" ht="14.25" customHeight="1" s="63"/>
    <row r="853" ht="14.25" customHeight="1" s="63"/>
    <row r="854" ht="14.25" customHeight="1" s="63"/>
    <row r="855" ht="14.25" customHeight="1" s="63"/>
    <row r="856" ht="14.25" customHeight="1" s="63"/>
    <row r="857" ht="14.25" customHeight="1" s="63"/>
    <row r="858" ht="14.25" customHeight="1" s="63"/>
    <row r="859" ht="14.25" customHeight="1" s="63"/>
    <row r="860" ht="14.25" customHeight="1" s="63"/>
    <row r="861" ht="14.25" customHeight="1" s="63"/>
    <row r="862" ht="14.25" customHeight="1" s="63"/>
    <row r="863" ht="14.25" customHeight="1" s="63"/>
    <row r="864" ht="14.25" customHeight="1" s="63"/>
    <row r="865" ht="14.25" customHeight="1" s="63"/>
    <row r="866" ht="14.25" customHeight="1" s="63"/>
    <row r="867" ht="14.25" customHeight="1" s="63"/>
    <row r="868" ht="14.25" customHeight="1" s="63"/>
    <row r="869" ht="14.25" customHeight="1" s="63"/>
    <row r="870" ht="14.25" customHeight="1" s="63"/>
    <row r="871" ht="14.25" customHeight="1" s="63"/>
    <row r="872" ht="14.25" customHeight="1" s="63"/>
    <row r="873" ht="14.25" customHeight="1" s="63"/>
    <row r="874" ht="14.25" customHeight="1" s="63"/>
    <row r="875" ht="14.25" customHeight="1" s="63"/>
    <row r="876" ht="14.25" customHeight="1" s="63"/>
    <row r="877" ht="14.25" customHeight="1" s="63"/>
    <row r="878" ht="14.25" customHeight="1" s="63"/>
    <row r="879" ht="14.25" customHeight="1" s="63"/>
    <row r="880" ht="14.25" customHeight="1" s="63"/>
    <row r="881" ht="14.25" customHeight="1" s="63"/>
    <row r="882" ht="14.25" customHeight="1" s="63"/>
    <row r="883" ht="14.25" customHeight="1" s="63"/>
    <row r="884" ht="14.25" customHeight="1" s="63"/>
    <row r="885" ht="14.25" customHeight="1" s="63"/>
    <row r="886" ht="14.25" customHeight="1" s="63"/>
    <row r="887" ht="14.25" customHeight="1" s="63"/>
    <row r="888" ht="14.25" customHeight="1" s="63"/>
    <row r="889" ht="14.25" customHeight="1" s="63"/>
    <row r="890" ht="14.25" customHeight="1" s="63"/>
    <row r="891" ht="14.25" customHeight="1" s="63"/>
    <row r="892" ht="14.25" customHeight="1" s="63"/>
    <row r="893" ht="14.25" customHeight="1" s="63"/>
    <row r="894" ht="14.25" customHeight="1" s="63"/>
    <row r="895" ht="14.25" customHeight="1" s="63"/>
    <row r="896" ht="14.25" customHeight="1" s="63"/>
    <row r="897" ht="14.25" customHeight="1" s="63"/>
    <row r="898" ht="14.25" customHeight="1" s="63"/>
    <row r="899" ht="14.25" customHeight="1" s="63"/>
    <row r="900" ht="14.25" customHeight="1" s="63"/>
    <row r="901" ht="14.25" customHeight="1" s="63"/>
    <row r="902" ht="14.25" customHeight="1" s="63"/>
    <row r="903" ht="14.25" customHeight="1" s="63"/>
    <row r="904" ht="14.25" customHeight="1" s="63"/>
    <row r="905" ht="14.25" customHeight="1" s="63"/>
    <row r="906" ht="14.25" customHeight="1" s="63"/>
    <row r="907" ht="14.25" customHeight="1" s="63"/>
    <row r="908" ht="14.25" customHeight="1" s="63"/>
    <row r="909" ht="14.25" customHeight="1" s="63"/>
    <row r="910" ht="14.25" customHeight="1" s="63"/>
    <row r="911" ht="14.25" customHeight="1" s="63"/>
    <row r="912" ht="14.25" customHeight="1" s="63"/>
    <row r="913" ht="14.25" customHeight="1" s="63"/>
    <row r="914" ht="14.25" customHeight="1" s="63"/>
    <row r="915" ht="14.25" customHeight="1" s="63"/>
    <row r="916" ht="14.25" customHeight="1" s="63"/>
    <row r="917" ht="14.25" customHeight="1" s="63"/>
    <row r="918" ht="14.25" customHeight="1" s="63"/>
    <row r="919" ht="14.25" customHeight="1" s="63"/>
    <row r="920" ht="14.25" customHeight="1" s="63"/>
    <row r="921" ht="14.25" customHeight="1" s="63"/>
    <row r="922" ht="14.25" customHeight="1" s="63"/>
    <row r="923" ht="14.25" customHeight="1" s="63"/>
    <row r="924" ht="14.25" customHeight="1" s="63"/>
    <row r="925" ht="14.25" customHeight="1" s="63"/>
    <row r="926" ht="14.25" customHeight="1" s="63"/>
    <row r="927" ht="14.25" customHeight="1" s="63"/>
    <row r="928" ht="14.25" customHeight="1" s="63"/>
    <row r="929" ht="14.25" customHeight="1" s="63"/>
    <row r="930" ht="14.25" customHeight="1" s="63"/>
    <row r="931" ht="14.25" customHeight="1" s="63"/>
    <row r="932" ht="14.25" customHeight="1" s="63"/>
    <row r="933" ht="14.25" customHeight="1" s="63"/>
    <row r="934" ht="14.25" customHeight="1" s="63"/>
    <row r="935" ht="14.25" customHeight="1" s="63"/>
    <row r="936" ht="14.25" customHeight="1" s="63"/>
    <row r="937" ht="14.25" customHeight="1" s="63"/>
    <row r="938" ht="14.25" customHeight="1" s="63"/>
    <row r="939" ht="14.25" customHeight="1" s="63"/>
    <row r="940" ht="14.25" customHeight="1" s="63"/>
    <row r="941" ht="14.25" customHeight="1" s="63"/>
    <row r="942" ht="14.25" customHeight="1" s="63"/>
    <row r="943" ht="14.25" customHeight="1" s="63"/>
    <row r="944" ht="14.25" customHeight="1" s="63"/>
    <row r="945" ht="14.25" customHeight="1" s="63"/>
    <row r="946" ht="14.25" customHeight="1" s="63"/>
    <row r="947" ht="14.25" customHeight="1" s="63"/>
    <row r="948" ht="14.25" customHeight="1" s="63"/>
    <row r="949" ht="14.25" customHeight="1" s="63"/>
    <row r="950" ht="14.25" customHeight="1" s="63"/>
    <row r="951" ht="14.25" customHeight="1" s="63"/>
    <row r="952" ht="14.25" customHeight="1" s="63"/>
    <row r="953" ht="14.25" customHeight="1" s="63"/>
    <row r="954" ht="14.25" customHeight="1" s="63"/>
    <row r="955" ht="14.25" customHeight="1" s="63"/>
    <row r="956" ht="14.25" customHeight="1" s="63"/>
    <row r="957" ht="14.25" customHeight="1" s="63"/>
    <row r="958" ht="14.25" customHeight="1" s="63"/>
    <row r="959" ht="14.25" customHeight="1" s="63"/>
    <row r="960" ht="14.25" customHeight="1" s="63"/>
    <row r="961" ht="14.25" customHeight="1" s="63"/>
    <row r="962" ht="14.25" customHeight="1" s="63"/>
    <row r="963" ht="14.25" customHeight="1" s="63"/>
    <row r="964" ht="14.25" customHeight="1" s="63"/>
    <row r="965" ht="14.25" customHeight="1" s="63"/>
    <row r="966" ht="14.25" customHeight="1" s="63"/>
    <row r="967" ht="14.25" customHeight="1" s="63"/>
    <row r="968" ht="14.25" customHeight="1" s="63"/>
    <row r="969" ht="14.25" customHeight="1" s="63"/>
    <row r="970" ht="14.25" customHeight="1" s="63"/>
    <row r="971" ht="14.25" customHeight="1" s="63"/>
    <row r="972" ht="14.25" customHeight="1" s="63"/>
    <row r="973" ht="14.25" customHeight="1" s="63"/>
    <row r="974" ht="14.25" customHeight="1" s="63"/>
    <row r="975" ht="14.25" customHeight="1" s="63"/>
    <row r="976" ht="14.25" customHeight="1" s="63"/>
    <row r="977" ht="14.25" customHeight="1" s="63"/>
    <row r="978" ht="14.25" customHeight="1" s="63"/>
    <row r="979" ht="14.25" customHeight="1" s="63"/>
    <row r="980" ht="14.25" customHeight="1" s="63"/>
    <row r="981" ht="14.25" customHeight="1" s="63"/>
    <row r="982" ht="14.25" customHeight="1" s="63"/>
    <row r="983" ht="14.25" customHeight="1" s="63"/>
    <row r="984" ht="14.25" customHeight="1" s="63"/>
    <row r="985" ht="14.25" customHeight="1" s="63"/>
    <row r="986" ht="14.25" customHeight="1" s="63"/>
    <row r="987" ht="14.25" customHeight="1" s="63"/>
    <row r="988" ht="14.25" customHeight="1" s="63"/>
    <row r="989" ht="14.25" customHeight="1" s="63"/>
    <row r="990" ht="14.25" customHeight="1" s="63"/>
    <row r="991" ht="14.25" customHeight="1" s="63"/>
    <row r="992" ht="14.25" customHeight="1" s="63"/>
    <row r="993" ht="14.25" customHeight="1" s="63"/>
    <row r="994" ht="14.25" customHeight="1" s="63"/>
    <row r="995" ht="14.25" customHeight="1" s="63"/>
    <row r="996" ht="14.25" customHeight="1" s="63"/>
    <row r="997" ht="14.25" customHeight="1" s="63"/>
    <row r="998" ht="14.25" customHeight="1" s="63"/>
    <row r="999" ht="14.25" customHeight="1" s="63"/>
    <row r="1000" ht="14.25" customHeight="1" s="6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2026-04-22T16:58:28Z</dcterms:created>
  <dcterms:modified xsi:type="dcterms:W3CDTF">2026-06-29T09:38:37Z</dcterms:modified>
</cp:coreProperties>
</file>